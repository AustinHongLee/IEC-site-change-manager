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.50\3勝一\SE-39(彰濱)-消防管+工業級\02.工程材料\"/>
    </mc:Choice>
  </mc:AlternateContent>
  <xr:revisionPtr revIDLastSave="0" documentId="13_ncr:1_{C4E7AC69-4E37-4134-A18B-2F9ECEA5040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FITTING" sheetId="4" r:id="rId1"/>
  </sheets>
  <definedNames>
    <definedName name="_xlnm._FilterDatabase" localSheetId="0" hidden="1">FITTING!$A$3:$WTK$269</definedName>
    <definedName name="_xlnm.Print_Area" localSheetId="0">FITTING!$A$1:$Q$268</definedName>
    <definedName name="_xlnm.Print_Titles" localSheetId="0">FITTING!$3:$3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65" i="4" l="1"/>
  <c r="I265" i="4"/>
  <c r="O265" i="4" s="1"/>
  <c r="Q264" i="4"/>
  <c r="I264" i="4"/>
  <c r="O264" i="4" s="1"/>
  <c r="Q174" i="4"/>
  <c r="Q262" i="4"/>
  <c r="Q263" i="4"/>
  <c r="Q266" i="4"/>
  <c r="Q267" i="4"/>
  <c r="Q268" i="4"/>
  <c r="I262" i="4"/>
  <c r="O262" i="4" s="1"/>
  <c r="I263" i="4"/>
  <c r="O263" i="4" s="1"/>
  <c r="I266" i="4"/>
  <c r="O266" i="4" s="1"/>
  <c r="I267" i="4"/>
  <c r="O267" i="4" s="1"/>
  <c r="I268" i="4"/>
  <c r="Q261" i="4"/>
  <c r="I261" i="4"/>
  <c r="O261" i="4" s="1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9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5" i="4"/>
  <c r="P264" i="4" l="1"/>
  <c r="P265" i="4"/>
  <c r="P262" i="4"/>
  <c r="P266" i="4"/>
  <c r="P263" i="4"/>
  <c r="P261" i="4"/>
  <c r="P267" i="4"/>
  <c r="Q4" i="4"/>
  <c r="Q5" i="4"/>
  <c r="O27" i="4"/>
  <c r="O4" i="4"/>
  <c r="O208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7" i="4"/>
  <c r="O238" i="4"/>
  <c r="O239" i="4"/>
  <c r="O240" i="4"/>
  <c r="O241" i="4"/>
  <c r="O243" i="4"/>
  <c r="O244" i="4"/>
  <c r="O245" i="4"/>
  <c r="O246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8" i="4"/>
  <c r="P24" i="4" l="1"/>
  <c r="P23" i="4"/>
  <c r="P245" i="4"/>
  <c r="P223" i="4"/>
  <c r="P244" i="4"/>
  <c r="P45" i="4"/>
  <c r="P22" i="4"/>
  <c r="P67" i="4"/>
  <c r="P170" i="4"/>
  <c r="P82" i="4"/>
  <c r="P44" i="4"/>
  <c r="P25" i="4"/>
  <c r="P211" i="4"/>
  <c r="P252" i="4"/>
  <c r="P212" i="4"/>
  <c r="P253" i="4"/>
  <c r="P147" i="4"/>
  <c r="P81" i="4"/>
  <c r="P190" i="4"/>
  <c r="P102" i="4"/>
  <c r="P36" i="4"/>
  <c r="P189" i="4"/>
  <c r="P188" i="4"/>
  <c r="P144" i="4"/>
  <c r="P78" i="4"/>
  <c r="P209" i="4"/>
  <c r="P186" i="4"/>
  <c r="P142" i="4"/>
  <c r="P120" i="4"/>
  <c r="P251" i="4"/>
  <c r="P185" i="4"/>
  <c r="P141" i="4"/>
  <c r="P250" i="4"/>
  <c r="P184" i="4"/>
  <c r="P140" i="4"/>
  <c r="P191" i="4"/>
  <c r="P103" i="4"/>
  <c r="P37" i="4"/>
  <c r="P146" i="4"/>
  <c r="P80" i="4"/>
  <c r="P145" i="4"/>
  <c r="P79" i="4"/>
  <c r="P232" i="4"/>
  <c r="P249" i="4"/>
  <c r="P227" i="4"/>
  <c r="P205" i="4"/>
  <c r="P183" i="4"/>
  <c r="P161" i="4"/>
  <c r="P139" i="4"/>
  <c r="P51" i="4"/>
  <c r="P248" i="4"/>
  <c r="P226" i="4"/>
  <c r="P204" i="4"/>
  <c r="P182" i="4"/>
  <c r="P160" i="4"/>
  <c r="P138" i="4"/>
  <c r="P94" i="4"/>
  <c r="P72" i="4"/>
  <c r="P50" i="4"/>
  <c r="P247" i="4"/>
  <c r="P225" i="4"/>
  <c r="P203" i="4"/>
  <c r="P246" i="4"/>
  <c r="P224" i="4"/>
  <c r="P202" i="4"/>
  <c r="P4" i="4"/>
  <c r="P194" i="4"/>
  <c r="P108" i="4"/>
  <c r="P149" i="4"/>
  <c r="P85" i="4"/>
  <c r="P43" i="4"/>
  <c r="P127" i="4"/>
  <c r="P63" i="4"/>
  <c r="P83" i="4"/>
  <c r="P19" i="4"/>
  <c r="P168" i="4"/>
  <c r="P61" i="4"/>
  <c r="P231" i="4"/>
  <c r="P17" i="4"/>
  <c r="P230" i="4"/>
  <c r="P208" i="4"/>
  <c r="P166" i="4"/>
  <c r="P123" i="4"/>
  <c r="P16" i="4"/>
  <c r="P207" i="4"/>
  <c r="P122" i="4"/>
  <c r="P58" i="4"/>
  <c r="P206" i="4"/>
  <c r="P143" i="4"/>
  <c r="P57" i="4"/>
  <c r="P99" i="4"/>
  <c r="P66" i="4"/>
  <c r="P129" i="4"/>
  <c r="P65" i="4"/>
  <c r="P107" i="4"/>
  <c r="P64" i="4"/>
  <c r="P42" i="4"/>
  <c r="P169" i="4"/>
  <c r="P105" i="4"/>
  <c r="P62" i="4"/>
  <c r="P104" i="4"/>
  <c r="P18" i="4"/>
  <c r="P187" i="4"/>
  <c r="P124" i="4"/>
  <c r="P39" i="4"/>
  <c r="P59" i="4"/>
  <c r="P121" i="4"/>
  <c r="P70" i="4"/>
  <c r="P132" i="4"/>
  <c r="P87" i="4"/>
  <c r="P86" i="4"/>
  <c r="P128" i="4"/>
  <c r="P21" i="4"/>
  <c r="P148" i="4"/>
  <c r="P106" i="4"/>
  <c r="P84" i="4"/>
  <c r="P20" i="4"/>
  <c r="P126" i="4"/>
  <c r="P41" i="4"/>
  <c r="P210" i="4"/>
  <c r="P125" i="4"/>
  <c r="P40" i="4"/>
  <c r="P167" i="4"/>
  <c r="P60" i="4"/>
  <c r="P38" i="4"/>
  <c r="P229" i="4"/>
  <c r="P165" i="4"/>
  <c r="P101" i="4"/>
  <c r="P15" i="4"/>
  <c r="P228" i="4"/>
  <c r="P164" i="4"/>
  <c r="P100" i="4"/>
  <c r="P163" i="4"/>
  <c r="P162" i="4"/>
  <c r="P98" i="4"/>
  <c r="P32" i="4"/>
  <c r="P220" i="4"/>
  <c r="P243" i="4"/>
  <c r="P222" i="4"/>
  <c r="P201" i="4"/>
  <c r="P181" i="4"/>
  <c r="P119" i="4"/>
  <c r="P97" i="4"/>
  <c r="P77" i="4"/>
  <c r="P56" i="4"/>
  <c r="P35" i="4"/>
  <c r="P14" i="4"/>
  <c r="P242" i="4"/>
  <c r="P221" i="4"/>
  <c r="P200" i="4"/>
  <c r="P180" i="4"/>
  <c r="P159" i="4"/>
  <c r="P118" i="4"/>
  <c r="P96" i="4"/>
  <c r="P76" i="4"/>
  <c r="P55" i="4"/>
  <c r="P34" i="4"/>
  <c r="P13" i="4"/>
  <c r="P241" i="4"/>
  <c r="P199" i="4"/>
  <c r="P179" i="4"/>
  <c r="P158" i="4"/>
  <c r="P137" i="4"/>
  <c r="P117" i="4"/>
  <c r="P95" i="4"/>
  <c r="P75" i="4"/>
  <c r="P54" i="4"/>
  <c r="P33" i="4"/>
  <c r="P12" i="4"/>
  <c r="P268" i="4"/>
  <c r="P240" i="4"/>
  <c r="P198" i="4"/>
  <c r="P178" i="4"/>
  <c r="P157" i="4"/>
  <c r="P136" i="4"/>
  <c r="P116" i="4"/>
  <c r="P74" i="4"/>
  <c r="P53" i="4"/>
  <c r="P11" i="4"/>
  <c r="P260" i="4"/>
  <c r="P239" i="4"/>
  <c r="P219" i="4"/>
  <c r="P197" i="4"/>
  <c r="P177" i="4"/>
  <c r="P156" i="4"/>
  <c r="P135" i="4"/>
  <c r="P115" i="4"/>
  <c r="P73" i="4"/>
  <c r="P52" i="4"/>
  <c r="P10" i="4"/>
  <c r="P259" i="4"/>
  <c r="P218" i="4"/>
  <c r="P176" i="4"/>
  <c r="P134" i="4"/>
  <c r="P93" i="4"/>
  <c r="P9" i="4"/>
  <c r="P258" i="4"/>
  <c r="P217" i="4"/>
  <c r="P175" i="4"/>
  <c r="P113" i="4"/>
  <c r="P71" i="4"/>
  <c r="P30" i="4"/>
  <c r="P257" i="4"/>
  <c r="P216" i="4"/>
  <c r="P174" i="4"/>
  <c r="P91" i="4"/>
  <c r="P7" i="4"/>
  <c r="P235" i="4"/>
  <c r="P173" i="4"/>
  <c r="P6" i="4"/>
  <c r="P255" i="4"/>
  <c r="P234" i="4"/>
  <c r="P214" i="4"/>
  <c r="P193" i="4"/>
  <c r="P172" i="4"/>
  <c r="P151" i="4"/>
  <c r="P131" i="4"/>
  <c r="P110" i="4"/>
  <c r="P89" i="4"/>
  <c r="P69" i="4"/>
  <c r="P47" i="4"/>
  <c r="P27" i="4"/>
  <c r="P5" i="4"/>
  <c r="P238" i="4"/>
  <c r="P196" i="4"/>
  <c r="P155" i="4"/>
  <c r="P114" i="4"/>
  <c r="P31" i="4"/>
  <c r="P237" i="4"/>
  <c r="P195" i="4"/>
  <c r="P154" i="4"/>
  <c r="P133" i="4"/>
  <c r="P92" i="4"/>
  <c r="P8" i="4"/>
  <c r="P236" i="4"/>
  <c r="P153" i="4"/>
  <c r="P112" i="4"/>
  <c r="P49" i="4"/>
  <c r="P29" i="4"/>
  <c r="P256" i="4"/>
  <c r="P215" i="4"/>
  <c r="P152" i="4"/>
  <c r="P111" i="4"/>
  <c r="P90" i="4"/>
  <c r="P48" i="4"/>
  <c r="P28" i="4"/>
  <c r="P254" i="4"/>
  <c r="P233" i="4"/>
  <c r="P213" i="4"/>
  <c r="P192" i="4"/>
  <c r="P171" i="4"/>
  <c r="P150" i="4"/>
  <c r="P130" i="4"/>
  <c r="P109" i="4"/>
  <c r="P88" i="4"/>
  <c r="P68" i="4"/>
  <c r="P46" i="4"/>
  <c r="P26" i="4"/>
</calcChain>
</file>

<file path=xl/sharedStrings.xml><?xml version="1.0" encoding="utf-8"?>
<sst xmlns="http://schemas.openxmlformats.org/spreadsheetml/2006/main" count="1340" uniqueCount="589">
  <si>
    <t>項次</t>
  </si>
  <si>
    <t>單位</t>
  </si>
  <si>
    <t>備註</t>
  </si>
  <si>
    <t>規格型號</t>
  </si>
  <si>
    <t>材   質</t>
  </si>
  <si>
    <t>A105</t>
  </si>
  <si>
    <t>A182 F304</t>
  </si>
  <si>
    <t>A216 WCB</t>
  </si>
  <si>
    <t>合約數量</t>
    <phoneticPr fontId="4" type="noConversion"/>
  </si>
  <si>
    <t>材料管制單</t>
    <phoneticPr fontId="5" type="noConversion"/>
  </si>
  <si>
    <t>採購數量</t>
    <phoneticPr fontId="6" type="noConversion"/>
  </si>
  <si>
    <t>數量
(庫存)</t>
    <phoneticPr fontId="6" type="noConversion"/>
  </si>
  <si>
    <t>累計採購數量</t>
    <phoneticPr fontId="6" type="noConversion"/>
  </si>
  <si>
    <t>差異數量</t>
    <phoneticPr fontId="6" type="noConversion"/>
  </si>
  <si>
    <t>累計收料</t>
    <phoneticPr fontId="6" type="noConversion"/>
  </si>
  <si>
    <t>FITTING配件(碳鋼)</t>
    <phoneticPr fontId="6" type="noConversion"/>
  </si>
  <si>
    <t>3.3.1</t>
    <phoneticPr fontId="6" type="noConversion"/>
  </si>
  <si>
    <t>EB-2.1/2"X90-90 ELBOW LR BW A234 GR.WPB GALV. SMLS SCH40 ASME B16.9</t>
    <phoneticPr fontId="4" type="noConversion"/>
  </si>
  <si>
    <t>A234 GR.WPB GALV.</t>
  </si>
  <si>
    <t>PC</t>
    <phoneticPr fontId="4" type="noConversion"/>
  </si>
  <si>
    <t>3.3.2</t>
  </si>
  <si>
    <t>EB-4"X90-90 ELBOW LR BW A234 GR.WPB GALV. SMLS SCH40 ASME B16.9</t>
  </si>
  <si>
    <t>3.3.3</t>
  </si>
  <si>
    <t>EB-6"X45-45 ELBOW LR BW A234 GR.WPB GALV. SMLS SCH40 ASME B16.9</t>
  </si>
  <si>
    <t>3.3.4</t>
  </si>
  <si>
    <t>EB-6"X90-90 ELBOW LR BW A234 GR.WPB GALV. SMLS SCH40 ASME B16.9</t>
  </si>
  <si>
    <t>3.3.5</t>
  </si>
  <si>
    <t>EB-8"X90-90 ELBOW LR BW A234 GR.WPB GALV. SMLS SCH40 ASME B16.9</t>
  </si>
  <si>
    <t>3.3.6</t>
  </si>
  <si>
    <t>EB-8"X90SR-90 ELBOW SR BW A234 GR.WPB GALV. SMLS SCH40 ASME B16.9</t>
  </si>
  <si>
    <t>3.3.7</t>
  </si>
  <si>
    <t>EB-10"X90-90 ELBOW LR BW A234 GR.WPB GALV. WELD STD ASME B16.9</t>
  </si>
  <si>
    <t>3.3.8</t>
  </si>
  <si>
    <t>EB-12"X45-45 ELBOW LR BW A234 GR.WPB GALV. WELD STD ASME B16.9</t>
  </si>
  <si>
    <t>3.3.9</t>
  </si>
  <si>
    <t>EB-12"X90-90 ELBOW LR BW A234 GR.WPB GALV. WELD STD ASME B16.9</t>
  </si>
  <si>
    <t>3.3.10</t>
  </si>
  <si>
    <t>EB-14"X45-45 ELBOW LR BW A234 GR.WPB GALV. WELD STD ASME B16.9</t>
  </si>
  <si>
    <t>3.3.11</t>
  </si>
  <si>
    <t>EB-14"X90-90 ELBOW LR BW A234 GR.WPB GALV. WELD STD ASME B16.9</t>
  </si>
  <si>
    <t>3.3.12</t>
  </si>
  <si>
    <t>EB-14"X90SR-90 ELBOW SR BW A234 GR.WPB GALV. WELD STD ASME B16.9</t>
  </si>
  <si>
    <t>3.3.13</t>
  </si>
  <si>
    <t>EB-16"X90-90 ELBOW LR BW A234 GR.WPB GALV. WELD STD ASME B16.9</t>
  </si>
  <si>
    <t>3.3.14</t>
  </si>
  <si>
    <t>EB-18"X45-45 ELBOW LR BW A234 GR.WPB GALV. WELD STD ASME B16.9</t>
  </si>
  <si>
    <t>3.3.15</t>
  </si>
  <si>
    <t>EB-18"X90-90 ELBOW LR BW A234 GR.WPB GALV. WELD STD ASME B16.9</t>
  </si>
  <si>
    <t>3.3.16</t>
  </si>
  <si>
    <t>EB-24"X45-45 ELBOW LR BW A234 GR.WPB GALV. WELD STD ASME B16.9</t>
  </si>
  <si>
    <t>3.3.17</t>
  </si>
  <si>
    <t>WOL-6"X2"-WELDOLET BW A105 GALV. SMLS SCH40 MSS SP-97</t>
    <phoneticPr fontId="4" type="noConversion"/>
  </si>
  <si>
    <t>A105 GALV.</t>
  </si>
  <si>
    <t>3.3.18</t>
  </si>
  <si>
    <t>WOL-8"X2.1/2"-WELDOLET BW A105 GALV. SMLS SCH40 MSS SP-97</t>
  </si>
  <si>
    <t>3.3.19</t>
  </si>
  <si>
    <t>WOL-14"X2.1/2"-WELDOLET BW A105 GALV. SMLS SCH40 MSS SP-97</t>
  </si>
  <si>
    <t>3.3.20</t>
  </si>
  <si>
    <t>WOL-14"X6"-WELDOLET BW A105 GALV. SMLS SCH40 MSS SP-97</t>
  </si>
  <si>
    <t>3.3.21</t>
  </si>
  <si>
    <t>WOL-24"X6"-WELDOLET BW A105 GALV. SMLS SCH40 MSS SP-97</t>
  </si>
  <si>
    <t>3.3.22</t>
  </si>
  <si>
    <t>RC-6"X4"-REDUCER CONC BW A234 GR.WPB GALV. SMLS SCH40 ASME B16.9</t>
  </si>
  <si>
    <t>3.3.23</t>
  </si>
  <si>
    <t>RE-6"X2.1/2"-REDUCER ECC BW A234 GR.WPB GALV. SMLS SCH40 ASME B16.9</t>
  </si>
  <si>
    <t>3.3.24</t>
  </si>
  <si>
    <t>RC-8"X6"-REDUCER CONC BW A234 GR.WPB GALV. SMLS SCH40 ASME B16.9</t>
  </si>
  <si>
    <t>3.3.25</t>
  </si>
  <si>
    <t>RE-8"X4"-REDUCER ECC BW A234 GR.WPB GALV. SMLS SCH40 ASME B16.9</t>
  </si>
  <si>
    <t>3.3.26</t>
  </si>
  <si>
    <t>RE-14"X12"-REDUCER ECC BW A234 GR.WPB GALV. WELD STD ASME B16.9</t>
  </si>
  <si>
    <t>3.3.27</t>
  </si>
  <si>
    <t>RE-14"X8"-REDUCER ECC BW A234 GR.WPB GALV. WELD STD ASME B16.9</t>
  </si>
  <si>
    <t>3.3.28</t>
  </si>
  <si>
    <t>RE-18"X16"-REDUCER ECC BW A234 GR.WPB GALV. WELD STD ASME B16.9</t>
  </si>
  <si>
    <t>3.3.29</t>
  </si>
  <si>
    <t>TB-6"-TEE BW A234 GR.WPB GALV. SMLS SCH40 ASME B16.9</t>
  </si>
  <si>
    <t>3.3.30</t>
  </si>
  <si>
    <t>TB-6"X3"-REDUCING TEE BW A234 GR.WPB GALV. SMLS SCH40 ASME B16.9</t>
  </si>
  <si>
    <t>3.3.31</t>
  </si>
  <si>
    <t>TB-6"X4"-REDUCING TEE BW A234 GR.WPB GALV. SMLS SCH40 ASME B16.9</t>
  </si>
  <si>
    <t>3.3.32</t>
  </si>
  <si>
    <t>TB-8"-TEE BW A234 GR.WPB GALV. SMLS SCH40 ASME B16.9</t>
  </si>
  <si>
    <t>3.3.33</t>
  </si>
  <si>
    <t>TB-8"X4"-REDUCING TEE BW A234 GR.WPB GALV. SMLS SCH40 ASME B16.9</t>
  </si>
  <si>
    <t>3.3.34</t>
  </si>
  <si>
    <t>TB-8"X6"-REDUCING TEE BW A234 GR.WPB GALV. SMLS SCH40 ASME B16.9</t>
  </si>
  <si>
    <t>3.3.35</t>
  </si>
  <si>
    <t>TB-12"-TEE BW A234 GR.WPB GALV. WELD STD ASME B16.9</t>
  </si>
  <si>
    <t>3.3.36</t>
  </si>
  <si>
    <t>TB-14"-TEE BW A234 GR.WPB GALV. WELD STD ASME B16.9</t>
  </si>
  <si>
    <t>3.3.37</t>
  </si>
  <si>
    <t>TB-14"X12"-REDUCING TEE BW A234 GR.WPB GALV. WELD STD ASME B16.9</t>
  </si>
  <si>
    <t>3.3.38</t>
  </si>
  <si>
    <t>TB-14"X8"-REDUCING TEE BW A234 GR.WPB GALV. WELD STD ASME B16.9</t>
  </si>
  <si>
    <t>3.3.39</t>
  </si>
  <si>
    <t>TB-24"X10"-REDUCING TEE BW A234 GR.WPB GALV. WELD STD ASME B16.9</t>
  </si>
  <si>
    <t>3.3.40</t>
  </si>
  <si>
    <t>TB-24"X18"-REDUCING TEE BW A234 GR.WPB GALV. WELD STD ASME B16.9</t>
  </si>
  <si>
    <t>FITTING (不鏽鋼)</t>
    <phoneticPr fontId="6" type="noConversion"/>
  </si>
  <si>
    <t>3.4.1</t>
    <phoneticPr fontId="6" type="noConversion"/>
  </si>
  <si>
    <t>CB-2"-CAP BW A403-WP304 SMLS SCH40S ASME B16.9</t>
    <phoneticPr fontId="4" type="noConversion"/>
  </si>
  <si>
    <t>A403-WP304</t>
  </si>
  <si>
    <t>3.4.2</t>
  </si>
  <si>
    <t>CB-4"-CAP BW A403-WP304 SMLS SCH10S ASME B16.9</t>
  </si>
  <si>
    <t>3.4.3</t>
  </si>
  <si>
    <t>CB-6"-CAP BW A403-WP304 SMLS SCH10S ASME B16.9</t>
  </si>
  <si>
    <t>3.4.4</t>
  </si>
  <si>
    <t>EB-2"X45-45 ELBOW LR BW A403-WP304 SMLS SCH40S ASME B16.9</t>
  </si>
  <si>
    <t>3.4.5</t>
  </si>
  <si>
    <t>EB-2"X90-90 ELBOW LR BW A403-WP304 SMLS SCH40S ASME B16.9</t>
  </si>
  <si>
    <t>3.4.6</t>
  </si>
  <si>
    <t>EB-2.1/2"X45-45 ELBOW LR BW A403-WP304 WELD SCH10S ASME B16.9</t>
  </si>
  <si>
    <t>3.4.7</t>
  </si>
  <si>
    <t>EB-2.1/2"X90-90 ELBOW LR BW A403-WP304 WELD SCH10S ASME B16.9</t>
  </si>
  <si>
    <t>3.4.8</t>
  </si>
  <si>
    <t>EB-3"X45-45 ELBOW LR BW A403-WP304 WELD SCH10S ASME B16.9</t>
  </si>
  <si>
    <t>3.4.9</t>
  </si>
  <si>
    <t>EB-3"X90-90 ELBOW LR BW A403-WP304 WELD SCH10S ASME B16.9</t>
  </si>
  <si>
    <t>3.4.10</t>
  </si>
  <si>
    <t>EB-4"X45-45 ELBOW LR BW A403-WP304 WELD SCH10S ASME B16.9</t>
  </si>
  <si>
    <t>3.4.11</t>
  </si>
  <si>
    <t>EB-4"X90-90 ELBOW LR BW A403-WP304 WELD SCH10S ASME B16.9</t>
  </si>
  <si>
    <t>3.4.12</t>
  </si>
  <si>
    <t>EB-6"X45-45 ELBOW LR BW A403-WP304 WELD SCH10S ASME B16.9</t>
  </si>
  <si>
    <t>3.4.13</t>
  </si>
  <si>
    <t>EB-6"X90-90 ELBOW LR BW A403-WP304 WELD SCH10S ASME B16.9</t>
  </si>
  <si>
    <t>3.4.14</t>
  </si>
  <si>
    <t>EB-6"X90SR-90 ELBOW SR BW A403-WP304 WELD SCH10S ASME B16.9</t>
  </si>
  <si>
    <t>3.4.15</t>
  </si>
  <si>
    <t>EB-8"X45-45 ELBOW LR BW A403-WP304 WELD SCH10S ASME B16.9</t>
  </si>
  <si>
    <t>3.4.16</t>
  </si>
  <si>
    <t>EB-8"X90-90 ELBOW LR BW A403-WP304 SMLS SCH40S ASME B16.9</t>
  </si>
  <si>
    <t>3.4.17</t>
  </si>
  <si>
    <t>EB-8"X90-90 ELBOW LR BW A403-WP304 WELD SCH10S ASME B16.9</t>
  </si>
  <si>
    <t>3.4.18</t>
  </si>
  <si>
    <t>EB-8"X90SR-90 ELBOW SR BW A403-WP304 WELD SCH10S ASME B16.9</t>
  </si>
  <si>
    <t>3.4.19</t>
  </si>
  <si>
    <t>WOL-6"X2"-WELDOLET BW A182-F304 SMLS SCH40S MSS SP-97</t>
    <phoneticPr fontId="4" type="noConversion"/>
  </si>
  <si>
    <t>3.4.20</t>
  </si>
  <si>
    <t>WOL-6"X2.1/2"-WELDOLET BW A182-F304 SMLS SCH10S MSS SP-97</t>
  </si>
  <si>
    <t>3.4.21</t>
  </si>
  <si>
    <t>RE-2.1/2"X2"-REDUCER ECC BW A403-WP304 SMLS SCH10S/SCH40S ASME B16.9</t>
  </si>
  <si>
    <t>3.4.22</t>
  </si>
  <si>
    <t>RE-3"X2"-REDUCER ECC BW A403-WP304 SMLS SCH10S/SCH40S ASME B16.9</t>
  </si>
  <si>
    <t>3.4.23</t>
  </si>
  <si>
    <t>RE-4"X2"-REDUCER ECC BW A403-WP304 SMLS SCH10S/SCH40S ASME B16.9</t>
  </si>
  <si>
    <t>3.4.24</t>
  </si>
  <si>
    <t>RC-6"X4"-REDUCER CONC BW A403-WP304 WELD SCH10S ASME B16.9</t>
  </si>
  <si>
    <t>3.4.25</t>
  </si>
  <si>
    <t>RE-6"X2.1/2"-REDUCER ECC BW A403-WP304 WELD SCH10S ASME B16.9</t>
  </si>
  <si>
    <t>3.4.26</t>
  </si>
  <si>
    <t>RE-6"X4"-REDUCER ECC BW A403-WP304 WELD SCH10S ASME B16.9</t>
  </si>
  <si>
    <t>3.4.27</t>
  </si>
  <si>
    <t>RE-8"X4"-REDUCER ECC BW A403-WP304 WELD SCH10S ASME B16.9</t>
  </si>
  <si>
    <t>3.4.28</t>
  </si>
  <si>
    <t>TB-2"-TEE BW A403-WP304 SMLS SCH40S ASME B16.9</t>
  </si>
  <si>
    <t>3.4.29</t>
  </si>
  <si>
    <t>TB-2"X1"-REDUCING TEE BW A403-WP304 SMLS SCH40S ASME B16.9</t>
  </si>
  <si>
    <t>3.4.30</t>
  </si>
  <si>
    <t>TB-2"X1.1/2"-REDUCING TEE BW A403-WP304 SMLS SCH40S ASME B16.9</t>
  </si>
  <si>
    <t>3.4.31</t>
  </si>
  <si>
    <t>TB-2.1/2"X1.1/2"-REDUCING TEE BW A403-WP304 SMLS SCH10S/SCH40S ASME B16.9</t>
  </si>
  <si>
    <t>3.4.32</t>
  </si>
  <si>
    <t>TB-4"-TEE BW A403-WP304 WELD SCH10S ASME B16.9</t>
  </si>
  <si>
    <t>3.4.33</t>
  </si>
  <si>
    <t>TB-4"X2"-REDUCING TEE BW A403-WP304 SMLS SCH10S/SCH40S ASME B16.9</t>
  </si>
  <si>
    <t>3.4.34</t>
  </si>
  <si>
    <t>TB-4"X3"-REDUCING TEE BW A403-WP304 WELD SCH10S ASME B16.9</t>
  </si>
  <si>
    <t>3.4.35</t>
  </si>
  <si>
    <t>TB-6"-TEE BW A403-WP304 WELD SCH10S ASME B16.9</t>
  </si>
  <si>
    <t>3.4.36</t>
  </si>
  <si>
    <t>TB-6"X3"-REDUCING TEE BW A403-WP304 WELD SCH10S ASME B16.9</t>
  </si>
  <si>
    <t>3.4.37</t>
  </si>
  <si>
    <t>TB-6"X4"-REDUCING TEE BW A403-WP304 WELD SCH10S ASME B16.9</t>
  </si>
  <si>
    <t>3.4.38</t>
  </si>
  <si>
    <t>TB-8"-TEE BW A403-WP304 WELD SCH10S ASME B16.9</t>
  </si>
  <si>
    <t>3.4.39</t>
  </si>
  <si>
    <t>TT-1.1/2"X1/2"-REDUCING TEE 3000# SCRD (FNPT) A182-F304 ASME B16.11</t>
  </si>
  <si>
    <t>FITTING (SW)</t>
    <phoneticPr fontId="6" type="noConversion"/>
  </si>
  <si>
    <t>3.5.1</t>
    <phoneticPr fontId="6" type="noConversion"/>
  </si>
  <si>
    <t>CT-1/2"-CAP 3000# SCRD (FNPT) A182-F304 ASME B16.11</t>
    <phoneticPr fontId="4" type="noConversion"/>
  </si>
  <si>
    <t>3.5.2</t>
  </si>
  <si>
    <t>CT-3/4"-CAP 3000# SCRD (FNPT) A105 GALV. ASME B16.11</t>
  </si>
  <si>
    <t>3.5.3</t>
  </si>
  <si>
    <t>CT-3/4"-CAP 3000# SCRD (FNPT) A182-F304 ASME B16.11</t>
    <phoneticPr fontId="4" type="noConversion"/>
  </si>
  <si>
    <t>A182-F304</t>
    <phoneticPr fontId="4" type="noConversion"/>
  </si>
  <si>
    <t>3.5.4</t>
  </si>
  <si>
    <t>CS-1"-CAP SW SCH80 UPVC</t>
    <phoneticPr fontId="4" type="noConversion"/>
  </si>
  <si>
    <t>UPVC</t>
  </si>
  <si>
    <t>3.5.5</t>
  </si>
  <si>
    <t>CT-1"-CAP 3000# SCRD (FNPT) A105 GALV. ASME B16.11</t>
  </si>
  <si>
    <t>3.5.6</t>
  </si>
  <si>
    <t>CT-1"-CAP 3000# SCRD (FNPT) A182-F304 ASME B16.11</t>
  </si>
  <si>
    <t>3.5.7</t>
  </si>
  <si>
    <t>CT-1.1/2"-CAP 3000# SCRD (FNPT) A105 GALV. ASME B16.11</t>
  </si>
  <si>
    <t>3.5.8</t>
  </si>
  <si>
    <t>CT-1.1/2"-CAP 3000# SCRD (FNPT) A182-F304 ASME B16.11</t>
  </si>
  <si>
    <t>3.5.9</t>
  </si>
  <si>
    <t>CFS-1/2"-FULL COUPLING 3000# SW A182-F304 ASME B16.11</t>
  </si>
  <si>
    <t>3.5.10</t>
  </si>
  <si>
    <t>CFT-1/2"-FULL COUPLING 3000# SCRD (FNPT) A182-F304 ASME B16.11</t>
  </si>
  <si>
    <t>3.5.11</t>
  </si>
  <si>
    <t>CFS-3/4"-FULL COUPLING 3000# SW A182-F304 ASME B16.11</t>
  </si>
  <si>
    <t>3.5.12</t>
  </si>
  <si>
    <t>CFS-1"-FULL COUPLING 3000# SW A182-F304 ASME B16.11</t>
  </si>
  <si>
    <t>3.5.13</t>
  </si>
  <si>
    <t>CFT-1"-FULL COUPLING 3000# SCRD (FNPT) A182-F304 ASME B16.11</t>
  </si>
  <si>
    <t>3.5.14</t>
  </si>
  <si>
    <t>CFS-1.1/2"-FULL COUPLING 3000# SW A182-F304 ASME B16.11</t>
  </si>
  <si>
    <t>3.5.15</t>
  </si>
  <si>
    <t>ES-1/2"X45-45 ELBOW 3000# SW A182-F304 ASME B16.11</t>
  </si>
  <si>
    <t>3.5.16</t>
  </si>
  <si>
    <t>ES-1/2"X90-90 ELBOW 3000# SW A105 GALV. ASME B16.11</t>
  </si>
  <si>
    <t>3.5.17</t>
  </si>
  <si>
    <t>ES-1/2"X90-90 ELBOW 3000# SW A182-F304 ASME B16.11</t>
  </si>
  <si>
    <t>3.5.18</t>
  </si>
  <si>
    <t>ES-1/2"X90-90 ELBOW SW SCH80 UPVC</t>
  </si>
  <si>
    <t>3.5.19</t>
  </si>
  <si>
    <t>ET-1/2"X90-90 ELBOW 3000# SCRD (FNPT) A182-F304 ASME B16.11</t>
  </si>
  <si>
    <t>3.5.20</t>
  </si>
  <si>
    <t>ES-3/4"X90-90 ELBOW 3000# SW A105 GALV. ASME B16.11</t>
  </si>
  <si>
    <t>3.5.21</t>
  </si>
  <si>
    <t>ES-3/4"X90-90 ELBOW 3000# SW A182-F304 ASME B16.11</t>
  </si>
  <si>
    <t>3.5.22</t>
  </si>
  <si>
    <t>ES-3/4"X90-90 ELBOW SW SCH80 UPVC</t>
  </si>
  <si>
    <t>3.5.23</t>
  </si>
  <si>
    <t>ES-1"X90-90 ELBOW 3000# SW A182-F304 ASME B16.11</t>
  </si>
  <si>
    <t>3.5.24</t>
  </si>
  <si>
    <t>ES-1"X90-90 ELBOW SW SCH80 UPVC</t>
    <phoneticPr fontId="4" type="noConversion"/>
  </si>
  <si>
    <t>3.5.25</t>
  </si>
  <si>
    <t>ET-1"X90-90 ELBOW 3000# SCRD (FNPT) A182-F304 ASME B16.11</t>
  </si>
  <si>
    <t>3.5.26</t>
  </si>
  <si>
    <t>ES-1.1/2"X90-90 ELBOW 3000# SW A182-F304 ASME B16.11</t>
  </si>
  <si>
    <t>3.5.27</t>
  </si>
  <si>
    <t>NIP-1/2"X100LXTOE-NIPPLE (L=100MM) TOE(NPT) A312-TP304 SMLS SCH80S CNS 6331</t>
    <phoneticPr fontId="4" type="noConversion"/>
  </si>
  <si>
    <t>A312-TP304</t>
  </si>
  <si>
    <t>3.5.28</t>
  </si>
  <si>
    <t>NIP-3/4"X100LXTOE-NIPPLE (L=100MM) TOE(NPT) A106 GR.B GALV. SMLS SCH80 ASME B36.10M</t>
    <phoneticPr fontId="4" type="noConversion"/>
  </si>
  <si>
    <t>A106 GR.B GALV.</t>
  </si>
  <si>
    <t>3.5.29</t>
  </si>
  <si>
    <t>NIP-3/4"X100LXTOE-NIPPLE (L=100MM) TOE(NPT) A312-TP304 SMLS SCH80S CNS 6331</t>
  </si>
  <si>
    <t>3.5.30</t>
  </si>
  <si>
    <t>NIP-1"X100LXTOE-NIPPLE (L=100MM) TOE(NPT) A106 GR.B GALV. SMLS SCH80 ASME B36.10M</t>
  </si>
  <si>
    <t>3.5.31</t>
  </si>
  <si>
    <t>NIP-1.1/2"X100LXTOE-NIPPLE (L=100MM) TOE(NPT) A106 GR.B GALV. SMLS SCH80 ASME B36.10M</t>
  </si>
  <si>
    <t>3.5.32</t>
  </si>
  <si>
    <t>NIP-1.1/2"X100LXTOE-NIPPLE (L=100MM) TOE(NPT) A312-TP304 SMLS SCH80S CNS 6331</t>
  </si>
  <si>
    <t>3.5.33</t>
  </si>
  <si>
    <t>SOL-2"X1/2"-SOCKOLET 3000# SW A182-F304 MSS SP-97</t>
  </si>
  <si>
    <t>3.5.34</t>
  </si>
  <si>
    <t>SOL-2"X3/4"-SOCKOLET 3000# SW A182-F304 MSS SP-97</t>
  </si>
  <si>
    <t>3.5.35</t>
  </si>
  <si>
    <t>TOL-2"X1/2"-THREADOLET 3000# SCRD (NPT) A182-F304 MSS SP-97</t>
  </si>
  <si>
    <t>3.5.36</t>
  </si>
  <si>
    <t>TOL-2"X3/4"-THREADOLET 3000# SCRD (NPT) A182-F304 MSS SP-97</t>
  </si>
  <si>
    <t>3.5.37</t>
  </si>
  <si>
    <t>SOL-2.1/2"X1"-SOCKOLET 3000# SW A182-F304 MSS SP-97</t>
  </si>
  <si>
    <t>3.5.38</t>
  </si>
  <si>
    <t>SOL-2.1/2"X1/2"-SOCKOLET 3000# SW A105 GALV. MSS SP-97</t>
  </si>
  <si>
    <t>3.5.39</t>
  </si>
  <si>
    <t>SOL-2.1/2"X1/2"-SOCKOLET 3000# SW A182-F304 MSS SP-97</t>
  </si>
  <si>
    <t>3.5.40</t>
  </si>
  <si>
    <t>SOL-2.1/2"X3/4"-SOCKOLET 3000# SW A182-F304 MSS SP-97</t>
  </si>
  <si>
    <t>3.5.41</t>
  </si>
  <si>
    <t>TOL-2.1/2"X1/2"-THREADOLET 3000# SCRD (NPT) A182-F304 MSS SP-97</t>
  </si>
  <si>
    <t>3.5.42</t>
  </si>
  <si>
    <t>TOL-2.1/2"X3/4"-THREADOLET 3000# SCRD (NPT) A182-F304 MSS SP-97</t>
  </si>
  <si>
    <t>3.5.43</t>
  </si>
  <si>
    <t>SOL-3"X1"-SOCKOLET 3000# SW A182-F304 MSS SP-97</t>
  </si>
  <si>
    <t>3.5.44</t>
  </si>
  <si>
    <t>SOL-3"X3/4"-SOCKOLET 3000# SW A182-F304 MSS SP-97</t>
  </si>
  <si>
    <t>3.5.45</t>
  </si>
  <si>
    <t>SOL-4"X1"-SOCKOLET 3000# SW A182-F304 MSS SP-97</t>
  </si>
  <si>
    <t>3.5.46</t>
  </si>
  <si>
    <t>SOL-4"X1.1/2"-SOCKOLET 3000# SW A182-F304 MSS SP-97</t>
  </si>
  <si>
    <t>3.5.47</t>
  </si>
  <si>
    <t>SOL-4"X1/2"-SOCKOLET 3000# SW A182-F304 MSS SP-97</t>
  </si>
  <si>
    <t>3.5.48</t>
  </si>
  <si>
    <t>SOL-4"X3/4"-SOCKOLET 3000# SW A182-F304 MSS SP-97</t>
  </si>
  <si>
    <t>3.5.49</t>
  </si>
  <si>
    <t>SOL-6"X1"-SOCKOLET 3000# SW A105 GALV. MSS SP-97</t>
  </si>
  <si>
    <t>3.5.50</t>
  </si>
  <si>
    <t>SOL-6"X1"-SOCKOLET 3000# SW A182-F304 MSS SP-97</t>
  </si>
  <si>
    <t>3.5.51</t>
  </si>
  <si>
    <t>SOL-6"X1.1/2"-SOCKOLET 3000# SW A105 GALV. MSS SP-97</t>
  </si>
  <si>
    <t>3.5.52</t>
  </si>
  <si>
    <t>SOL-6"X1.1/2"-SOCKOLET 3000# SW A182-F304 MSS SP-97</t>
  </si>
  <si>
    <t>3.5.53</t>
  </si>
  <si>
    <t>SOL-6"X1/2"-SOCKOLET 3000# SW A105 GALV. MSS SP-97</t>
  </si>
  <si>
    <t>3.5.54</t>
  </si>
  <si>
    <t>SOL-6"X1/2"-SOCKOLET 3000# SW A182-F304 MSS SP-97</t>
  </si>
  <si>
    <t>3.5.55</t>
  </si>
  <si>
    <t>SOL-6"X3/4"-SOCKOLET 3000# SW A105 GALV. MSS SP-97</t>
  </si>
  <si>
    <t>3.5.56</t>
  </si>
  <si>
    <t>SOL-6"X3/4"-SOCKOLET 3000# SW A182-F304 MSS SP-97</t>
  </si>
  <si>
    <t>3.5.57</t>
  </si>
  <si>
    <t>TOL-6"X1"-THREADOLET 3000# SCRD (NPT) A182-F304 MSS SP-97</t>
  </si>
  <si>
    <t>3.5.58</t>
  </si>
  <si>
    <t>TOL-6"X1/2"-THREADOLET 3000# SCRD (NPT) A105 GALV. MSS SP-97</t>
  </si>
  <si>
    <t>3.5.59</t>
  </si>
  <si>
    <t>SOL-8"X1"-SOCKOLET 3000# SW A182-F304 MSS SP-97</t>
  </si>
  <si>
    <t>3.5.60</t>
  </si>
  <si>
    <t>SOL-8"X1/2"-SOCKOLET 3000# SW A105 GALV. MSS SP-97</t>
  </si>
  <si>
    <t>3.5.61</t>
  </si>
  <si>
    <t>SOL-8"X3/4"-SOCKOLET 3000# SW A105 GALV. MSS SP-97</t>
  </si>
  <si>
    <t>3.5.62</t>
  </si>
  <si>
    <t>SOL-12"X1"-SOCKOLET 3000# SW A105 GALV. MSS SP-97</t>
  </si>
  <si>
    <t>3.5.63</t>
  </si>
  <si>
    <t>SOL-12"X3/4"-SOCKOLET 3000# SW A105 GALV. MSS SP-97</t>
  </si>
  <si>
    <t>3.5.64</t>
  </si>
  <si>
    <t>SOL-14"X1"-SOCKOLET 3000# SW A105 GALV. MSS SP-97</t>
  </si>
  <si>
    <t>3.5.65</t>
  </si>
  <si>
    <t>SOL-14"X1/2"-SOCKOLET 3000# SW A105 GALV. MSS SP-97</t>
  </si>
  <si>
    <t>3.5.66</t>
  </si>
  <si>
    <t>SOL-14"X3/4"-SOCKOLET 3000# SW A105 GALV. MSS SP-97</t>
  </si>
  <si>
    <t>3.5.67</t>
  </si>
  <si>
    <t>PL-1/4"-PLUG ROUND HEAD SCRD (M-NPT) A182-F304 ASME B16.11</t>
  </si>
  <si>
    <t>3.5.68</t>
  </si>
  <si>
    <t>SC-1/2"PX1/4"T-SWAGE CONC PLE/TSE(NPT) A403-WP304 SMLS SCH40S/SCH80S MSS-SP-95</t>
    <phoneticPr fontId="4" type="noConversion"/>
  </si>
  <si>
    <t>3.5.69</t>
  </si>
  <si>
    <t>SC-3/4"PX1/2"P-SWAGE CONC PBE A403-WP304 SMLS SCH40S MSS-SP-95</t>
  </si>
  <si>
    <t>3.5.70</t>
  </si>
  <si>
    <t>SC-1"PX1/2"T-SWAGE CONC PLE/TSE(NPT) A403-WP304 SMLS SCH40S/SCH80S MSS-SP-95</t>
  </si>
  <si>
    <t>3.5.71</t>
  </si>
  <si>
    <t>SE-1.1/2"PX1"T-SWAGE ECC PLE/TSE(NPT) A403-WP304 SMLS SCH40S/SCH80S MSS-SP-95</t>
  </si>
  <si>
    <t>3.5.72</t>
  </si>
  <si>
    <t>SE-2"BX1"P-SWAGE ECC BLE/PSE A403-WP304 SMLS SCH40S MSS-SP-95</t>
  </si>
  <si>
    <t>3.5.73</t>
  </si>
  <si>
    <t>SE-2"BX1"T-SWAGE ECC BLE/TSE(NPT) A403-WP304 SMLS SCH40S/SCH80S MSS-SP-95</t>
  </si>
  <si>
    <t>3.5.74</t>
  </si>
  <si>
    <t>SE-2"BX1.1/2"P-SWAGE ECC BLE/PSE A403-WP304 SMLS SCH40S MSS-SP-95</t>
  </si>
  <si>
    <t>3.5.75</t>
  </si>
  <si>
    <t>TS-1/2"-TEE 3000# SW A182-F304 ASME B16.11</t>
  </si>
  <si>
    <t>3.5.76</t>
  </si>
  <si>
    <t>TS-1/2"-TEE SW SCH80 UPVC</t>
  </si>
  <si>
    <t>3.5.77</t>
  </si>
  <si>
    <t>TT-1/2"-TEE 3000# SCRD (FNPT) A182-F304 ASME B16.11</t>
  </si>
  <si>
    <t>3.5.78</t>
  </si>
  <si>
    <t>TT-1/2"X1/4"-REDUCING TEE 3000# SCRD (FNPT) A182-F304 ASME B16.11</t>
  </si>
  <si>
    <t>3.5.79</t>
  </si>
  <si>
    <t>TS-1"-TEE 3000# SW A182-F304 ASME B16.11</t>
  </si>
  <si>
    <t>3.5.80</t>
  </si>
  <si>
    <t>TS-1"-TEE SW SCH80 UPVC</t>
  </si>
  <si>
    <t>3.5.81</t>
  </si>
  <si>
    <t>TS-1"X1/2"-REDUCING TEE SW SCH80 UPVC</t>
  </si>
  <si>
    <t>3.5.82</t>
  </si>
  <si>
    <t>TS-1"X3/4"-REDUCING TEE SW SCH80 UPVC</t>
  </si>
  <si>
    <t>3.5.83</t>
  </si>
  <si>
    <t>TT-1"-TEE 3000# SCRD (FNPT) A182-F304 ASME B16.11</t>
    <phoneticPr fontId="4" type="noConversion"/>
  </si>
  <si>
    <t>3.5.84</t>
  </si>
  <si>
    <t>TT-1"X1/2"-REDUCING TEE 3000# SCRD (FNPT) A182-F304 ASME B16.11</t>
  </si>
  <si>
    <t>3.5.85</t>
  </si>
  <si>
    <t>FLANG(法蘭)</t>
    <phoneticPr fontId="6" type="noConversion"/>
  </si>
  <si>
    <t>3.6.1</t>
    <phoneticPr fontId="6" type="noConversion"/>
  </si>
  <si>
    <t>FBR-1/2"-FLANGE BLIND 150# RF A182-F304 ASME B16.5</t>
  </si>
  <si>
    <t>3.6.2</t>
  </si>
  <si>
    <t>FBR-1"-FLANGE BLIND 150# RF A182-F304 ASME B16.5</t>
  </si>
  <si>
    <t>3.6.3</t>
  </si>
  <si>
    <t>FBR-2"-FLANGE BLIND 150# RF A105 GALV. ASME B16.5</t>
  </si>
  <si>
    <t>3.6.4</t>
  </si>
  <si>
    <t>FBR-2"-FLANGE BLIND 150# RF A182-F304 ASME B16.5</t>
  </si>
  <si>
    <t>3.6.5</t>
  </si>
  <si>
    <t>FBR-2.1/2"-FLANGE BLIND 150# RF A182-F304 ASME B16.5</t>
  </si>
  <si>
    <t>3.6.6</t>
  </si>
  <si>
    <t>FBR-3"-FLANGE BLIND 150# RF A182-F304 ASME B16.5</t>
  </si>
  <si>
    <t>3.6.7</t>
  </si>
  <si>
    <t>FBR-4"-FLANGE BLIND 150# RF A182-F304 ASME B16.5</t>
  </si>
  <si>
    <t>3.6.8</t>
  </si>
  <si>
    <t>FBR-6"-FLANGE BLIND 150# RF A105 GALV. ASME B16.5</t>
  </si>
  <si>
    <t>3.6.9</t>
  </si>
  <si>
    <t>FBR-6"-FLANGE BLIND 150# RF A182-F304 ASME B16.5</t>
  </si>
  <si>
    <t>3.6.10</t>
  </si>
  <si>
    <t>FBR-8"-FLANGE BLIND 150# RF A105 GALV. ASME B16.5</t>
  </si>
  <si>
    <t>3.6.11</t>
  </si>
  <si>
    <t>FBR-10"-FLANGE BLIND 150# RF A105 GALV. ASME B16.5</t>
  </si>
  <si>
    <t>3.6.12</t>
  </si>
  <si>
    <t>FBR-12"-FLANGE BLIND 150# RF A105 GALV. ASME B16.5</t>
  </si>
  <si>
    <t>3.6.13</t>
  </si>
  <si>
    <t>FBR-14"-FLANGE BLIND 150# RF A105 GALV. ASME B16.5</t>
  </si>
  <si>
    <t>3.6.14</t>
  </si>
  <si>
    <t>FBR-24"-FLANGE BLIND 150# RF A105 GALV. ASME B16.5</t>
  </si>
  <si>
    <t>3.6.15</t>
  </si>
  <si>
    <t>FRSW-1/2"-FLANGE SW 150# RF A182-F304 SCH40S BORE ASME B16.5</t>
  </si>
  <si>
    <t>3.6.16</t>
  </si>
  <si>
    <t>FRSW-3/4"-FLANGE SW 150# RF A182-F304 SCH40S BORE ASME B16.5</t>
  </si>
  <si>
    <t>3.6.17</t>
  </si>
  <si>
    <t>FRSW-1"-FLANGE SW 150# RF A105 GALV. SCH80 BORE ASME B16.5</t>
  </si>
  <si>
    <t>3.6.18</t>
  </si>
  <si>
    <t>FRSW-1"-FLANGE SW 150# RF A182-F304 SCH40S BORE ASME B16.5</t>
  </si>
  <si>
    <t>3.6.19</t>
  </si>
  <si>
    <t>FRWN-2"-FLANGE WN 150# RF A105 GALV. STD BORE ASME B16.5</t>
  </si>
  <si>
    <t>3.6.20</t>
  </si>
  <si>
    <t>FRWN-2"-FLANGE WN 150# RF A182-F304 SCH40S BORE ASME B16.5</t>
  </si>
  <si>
    <t>3.6.21</t>
  </si>
  <si>
    <t>FFWN-2.1/2"-FLANGE WN 150# FF A105 GALV. STD BORE ASME B16.5</t>
  </si>
  <si>
    <t>3.6.22</t>
  </si>
  <si>
    <t>FRWN-2.1/2"-FLANGE WN 150# RF A105 GALV. STD BORE ASME B16.5</t>
  </si>
  <si>
    <t>3.6.23</t>
  </si>
  <si>
    <t>FRWN-2.1/2"-FLANGE WN 150# RF A182-F304 SCH10S BORE ASME B16.5</t>
  </si>
  <si>
    <t>3.6.24</t>
  </si>
  <si>
    <t>FRWN-3"-FLANGE WN 150# RF A105 GALV. STD BORE ASME B16.5</t>
  </si>
  <si>
    <t>3.6.25</t>
  </si>
  <si>
    <t>FRWN-3"-FLANGE WN 150# RF A182-F304 SCH10S BORE ASME B16.5</t>
  </si>
  <si>
    <t>3.6.26</t>
  </si>
  <si>
    <t>FRWN-4"-FLANGE WN 150# RF A105 GALV. STD BORE ASME B16.5</t>
  </si>
  <si>
    <t>3.6.27</t>
  </si>
  <si>
    <t>FRWN-4"-FLANGE WN 150# RF A182-F304 SCH10S BORE ASME B16.5</t>
  </si>
  <si>
    <t>3.6.28</t>
  </si>
  <si>
    <t>FRWN-6"-FLANGE WN 150# RF A105 GALV. STD BORE ASME B16.5</t>
  </si>
  <si>
    <t>3.6.29</t>
  </si>
  <si>
    <t>FRWN-6"-FLANGE WN 150# RF A182-F304 SCH10S BORE ASME B16.5</t>
  </si>
  <si>
    <t>3.6.30</t>
  </si>
  <si>
    <t>FRWN-8"-FLANGE WN 150# RF A105 GALV. STD BORE ASME B16.5</t>
  </si>
  <si>
    <t>3.6.31</t>
  </si>
  <si>
    <t>FRWN-8"-FLANGE WN 150# RF A182-F304 SCH10S BORE ASME B16.5</t>
  </si>
  <si>
    <t>3.6.32</t>
  </si>
  <si>
    <t>FRWN-8"-FLANGE WN 150# RF A182-F304 SCH40S BORE ASME B16.5</t>
  </si>
  <si>
    <t>3.6.33</t>
  </si>
  <si>
    <t>FRWN-10"-FLANGE WN 150# RF A105 GALV. STD BORE ASME B16.5</t>
  </si>
  <si>
    <t>3.6.34</t>
  </si>
  <si>
    <t>FFWN-12"-FLANGE WN 150# FF A105 GALV. STD BORE ASME B16.5</t>
  </si>
  <si>
    <t>3.6.35</t>
  </si>
  <si>
    <t>FRWN-12"-FLANGE WN 150# RF A105 GALV. STD BORE ASME B16.5</t>
  </si>
  <si>
    <t>3.6.36</t>
  </si>
  <si>
    <t>FRWN-14"-FLANGE WN 150# RF A105 GALV. STD BORE ASME B16.5</t>
  </si>
  <si>
    <t>FFWN-16"-FLANGE WN 150# FF A105 GALV. STD BORE ASME B16.5</t>
  </si>
  <si>
    <t>3.6.38</t>
  </si>
  <si>
    <t>FRWN-16"-FLANGE WN 150# RF A105 GALV. STD BORE ASME B16.5</t>
  </si>
  <si>
    <t>3.6.39</t>
  </si>
  <si>
    <t>FRWN-18"-FLANGE WN 150# RF A105 GALV. STD BORE ASME B16.5</t>
  </si>
  <si>
    <t>3.6.40</t>
  </si>
  <si>
    <t>FRWN-24"-FLANGE WN 150# RF A105 GALV. STD BORE ASME B16.5</t>
  </si>
  <si>
    <t>VALVE(閥)</t>
    <phoneticPr fontId="6" type="noConversion"/>
  </si>
  <si>
    <t>3.7.1</t>
    <phoneticPr fontId="6" type="noConversion"/>
  </si>
  <si>
    <t>AVH-1/2"-MANUAL CONTROL STATION(BALL VALVE NPT 二件式)</t>
    <phoneticPr fontId="6" type="noConversion"/>
  </si>
  <si>
    <t>SUS304</t>
  </si>
  <si>
    <t>3.7.2</t>
  </si>
  <si>
    <t>SOLE-1/2"-SOLENOID VALVE FNPT</t>
    <phoneticPr fontId="4" type="noConversion"/>
  </si>
  <si>
    <t>3.7.3</t>
  </si>
  <si>
    <t>VA-1/2"-1844-GATE 800# SW A182-F304 BB OS&amp;Y RS TRIM 304SS STELLITED SOLID WEDGE API-602</t>
  </si>
  <si>
    <t>3.7.4</t>
  </si>
  <si>
    <t>VA-1/2"-1U12-GATE 800# SW/SCRD(NPT) A105 BB OS&amp;Y RS TRIM 13CR STELLITED SOLID WEDGE API-602</t>
  </si>
  <si>
    <t>3.7.5</t>
  </si>
  <si>
    <t>VA-1/2"-2844-GLOBE 800# SW A182-F304 BB OS&amp;Y RS TRIM 304SS STELLITED LOOSE DISC API-602</t>
  </si>
  <si>
    <t>3.7.6</t>
  </si>
  <si>
    <t>VA-1/2"-3844-CHECK 800# SW A182-F304 PISTON TYPE W/SPRING BC TRIM 304SS STELLITED API-602</t>
  </si>
  <si>
    <t>3.7.7</t>
  </si>
  <si>
    <t>VA-1/2"-3844S-CHECK 800# SW A182-F304 SWING TYPE BC TRIM 304SS STELLITED API-602</t>
  </si>
  <si>
    <t>3.7.8</t>
  </si>
  <si>
    <r>
      <t xml:space="preserve">VA-1/2"-4T12-BALL 2000PSI SCRD(NPT) </t>
    </r>
    <r>
      <rPr>
        <strike/>
        <sz val="12"/>
        <color rgb="FFFF0000"/>
        <rFont val="標楷體"/>
        <family val="4"/>
        <charset val="136"/>
      </rPr>
      <t>A105</t>
    </r>
    <r>
      <rPr>
        <sz val="12"/>
        <color indexed="8"/>
        <rFont val="標楷體"/>
        <family val="4"/>
        <charset val="136"/>
      </rPr>
      <t xml:space="preserve"> 304SS+PTFE FULL PORT FIRE SAFE WRENCH OPER. ASME B16.34</t>
    </r>
    <phoneticPr fontId="4" type="noConversion"/>
  </si>
  <si>
    <t>3.7.9</t>
  </si>
  <si>
    <r>
      <t xml:space="preserve">VA-1/2"-4T44-BALL 2000PSI SCRD(NPT) </t>
    </r>
    <r>
      <rPr>
        <strike/>
        <sz val="12"/>
        <color rgb="FFFF0000"/>
        <rFont val="標楷體"/>
        <family val="4"/>
        <charset val="136"/>
      </rPr>
      <t>A182-F304/</t>
    </r>
    <r>
      <rPr>
        <sz val="12"/>
        <color indexed="8"/>
        <rFont val="標楷體"/>
        <family val="4"/>
        <charset val="136"/>
      </rPr>
      <t>304SS+PTFE FULL PORT FIRE SAFE WRENCH OPER. ASME B16.34</t>
    </r>
    <phoneticPr fontId="4" type="noConversion"/>
  </si>
  <si>
    <t>3.7.10</t>
  </si>
  <si>
    <t>VA-3/4"-1812-GATE 800# SW A105 BB OS&amp;Y RS TRIM 13CR STELLITED SOLID WEDGE API-602</t>
  </si>
  <si>
    <t>3.7.11</t>
  </si>
  <si>
    <t>VA-3/4"-1844-GATE 800# SW A182-F304 BB OS&amp;Y RS TRIM 304SS STELLITED SOLID WEDGE API-602</t>
  </si>
  <si>
    <t>3.7.12</t>
  </si>
  <si>
    <t>TEST-1"-TEST VALVE(BALL VALVE NPT 二件式)</t>
    <phoneticPr fontId="4" type="noConversion"/>
  </si>
  <si>
    <t>SUS304</t>
    <phoneticPr fontId="4" type="noConversion"/>
  </si>
  <si>
    <t>3.7.13</t>
  </si>
  <si>
    <t>VA-1"-1812-GATE 800# SW A105 BB OS&amp;Y RS TRIM 13CR STELLITED SOLID WEDGE API-602</t>
  </si>
  <si>
    <t>3.7.14</t>
  </si>
  <si>
    <t>VA-1"-1844-GATE 800# SW A182-F304 BB OS&amp;Y RS TRIM 304SS STELLITED SOLID WEDGE API-602</t>
  </si>
  <si>
    <t>3.7.15</t>
  </si>
  <si>
    <t>VA-1"-1U44-GATE 800# SW/SCRD(NPT) A182-F304 BB OS&amp;Y RS TRIM 304SS STELLITED SOLID WEDGE API-602</t>
  </si>
  <si>
    <t>3.7.16</t>
  </si>
  <si>
    <t>VA-1.1/2"-1812-GATE 800# SW A105 BB OS&amp;Y RS TRIM 13CR STELLITED SOLID WEDGE API-602</t>
  </si>
  <si>
    <t>3.7.17</t>
  </si>
  <si>
    <t>VA-1.1/2"-1844-GATE 800# SW A182-F304 BB OS&amp;Y RS TRIM 304SS STELLITED SOLID WEDGE API-602</t>
  </si>
  <si>
    <t>3.7.18</t>
  </si>
  <si>
    <t>VA-1.1/2"-1U12-GATE 800# SW/SCRD(NPT) A105 BB OS&amp;Y RS TRIM 13CR STELLITED SOLID WEDGE API-602</t>
  </si>
  <si>
    <t>3.7.19</t>
  </si>
  <si>
    <t>VA-2"-1144-GATE 150# RF A351-CF8 BB OS&amp;Y RS TRIM 304SS STELLITED FLEXIBLE WEDGE API-600</t>
  </si>
  <si>
    <t>3.7.20</t>
  </si>
  <si>
    <t>VA-2.1/2"-1144-GATE 150# RF A351-CF8 BB OS&amp;Y RS TRIM 304SS STELLITED FLEXIBLE WEDGE API-600</t>
  </si>
  <si>
    <t>3.7.21</t>
  </si>
  <si>
    <t>VA-2.1/2"-3144-CHECK 150# RF A351-CF8 SWING BC TRIM 304SS STELLITED API-600</t>
    <phoneticPr fontId="4" type="noConversion"/>
  </si>
  <si>
    <t>A351 CF8</t>
    <phoneticPr fontId="4" type="noConversion"/>
  </si>
  <si>
    <t>3.7.22</t>
  </si>
  <si>
    <t>VA-2.1/2"-4112-BALL 150# RF A216-WCB/304SS+PTFE FULL PORT FIRE SAFE WRENCH OPER. ASME B16.34</t>
    <phoneticPr fontId="4" type="noConversion"/>
  </si>
  <si>
    <t>3.7.23</t>
  </si>
  <si>
    <t>VA-3"-1144-GATE 150# RF A351-CF8 BB OS&amp;Y RS TRIM 304SS STELLITED FLEXIBLE WEDGE API-600</t>
  </si>
  <si>
    <t>3.7.24</t>
  </si>
  <si>
    <t>VA-4"-ALARM CHECK VALVE VERTICAL TRIM 150# RF</t>
  </si>
  <si>
    <t>3.7.25</t>
  </si>
  <si>
    <t>VA-4"-1112-GATE 150# RF A216-WCB BB OS&amp;Y RS TRIM 13CR STELLITED FLEXIBLE WEDGE API-600</t>
  </si>
  <si>
    <t>3.7.26</t>
  </si>
  <si>
    <t>VA-4"-1144-GATE 150# RF A351-CF8 BB OS&amp;Y RS TRIM 304SS STELLITED FLEXIBLE WEDGE API-600</t>
  </si>
  <si>
    <t>3.7.27</t>
  </si>
  <si>
    <t>VA-4"-3112-CHECK 150# RF A216-WCB SWING BC TRIM 13CR STELLITED API-600</t>
  </si>
  <si>
    <t>3.7.28</t>
  </si>
  <si>
    <t>VA-4"-3144-CHECK 150# RF A351-CF8 SWING BC TRIM 304SS STELLITED API-600</t>
  </si>
  <si>
    <t>3.7.29</t>
  </si>
  <si>
    <t>VA-4"-4144-BALL 150# RF A351-CF8/304SS+PTFE FULL PORT FIRE SAFE WRENCH OPER. ASME B16.34</t>
  </si>
  <si>
    <t>3.7.30</t>
  </si>
  <si>
    <t>VA-6"-ALARM CHECK VALVE VERTICAL TRIM 150# RF</t>
  </si>
  <si>
    <t>3.7.31</t>
  </si>
  <si>
    <t>VA-6"-1112-GATE 150# RF A216-WCB BB OS&amp;Y RS TRIM 13CR STELLITED FLEXIBLE WEDGE API-600</t>
  </si>
  <si>
    <t>3.7.32</t>
  </si>
  <si>
    <t>VA-6"-1144-GATE 150# RF A351-CF8 BB OS&amp;Y RS TRIM 304SS STELLITED FLEXIBLE WEDGE API-600</t>
  </si>
  <si>
    <t>3.7.33</t>
  </si>
  <si>
    <t>VA-6"-3112-CHECK 150# RF A216-WCB SWING BC TRIM 13CR STELLITED API-600</t>
  </si>
  <si>
    <t>3.7.34</t>
  </si>
  <si>
    <t>VA-6"-3144-CHECK 150# RF A351-CF8 SWING BC TRIM 304SS STELLITED API-600</t>
  </si>
  <si>
    <t>3.7.35</t>
  </si>
  <si>
    <t>VA-8"-ALARM CHECK VALVE VERTICAL TRIM 150# RF</t>
  </si>
  <si>
    <t>3.7.36</t>
  </si>
  <si>
    <t>VA-8"-1112-GATE 150# RF A216-WCB BB OS&amp;Y RS TRIM 13CR STELLITED FLEXIBLE WEDGE API-600</t>
  </si>
  <si>
    <t>3.7.37</t>
  </si>
  <si>
    <t>VA-8"-1144-GATE 150# RF A351-CF8 BB OS&amp;Y RS TRIM 304SS STELLITED FLEXIBLE WEDGE API-600</t>
  </si>
  <si>
    <t>3.7.38</t>
  </si>
  <si>
    <t>VA-10"-1112-GATE 150# RF A216-WCB BB OS&amp;Y RS TRIM 13CR STELLITED FLEXIBLE WEDGE API-600</t>
  </si>
  <si>
    <t>3.7.39</t>
  </si>
  <si>
    <t>VA-12"-1112-GATE 150# RF A216-WCB BB OS&amp;Y RS TRIM 13CR STELLITED FLEXIBLE WEDGE API-600</t>
  </si>
  <si>
    <t>3.7.40</t>
  </si>
  <si>
    <t>VA-12"-4112A-BALL 150# RF A216-WCB/304SS+PTFE FULL PORT FIRE SAFE GEAR OPER. ASME B16.34</t>
  </si>
  <si>
    <t>3.7.41</t>
  </si>
  <si>
    <t>VA-14"-1112A-GATE 150# RF A216-WCB BB OS&amp;Y RS TRIM 13CR STELLITED FLEXIBLE WEDGE GEAR OPER. API-600</t>
  </si>
  <si>
    <t>3.7.42</t>
  </si>
  <si>
    <t>VA-14"-3112S-FULL OPEN STYLE CHECK 150# RF BODY FC20 DISC 304SS TRIM 304SS</t>
    <phoneticPr fontId="4" type="noConversion"/>
  </si>
  <si>
    <t>FC20</t>
  </si>
  <si>
    <t>3.7.43</t>
  </si>
  <si>
    <t>VA-14"-6A14A-BUTTERFLY 150# RF WAFER A216-WCB/304SS DISC RTFE/316SS SEAT 13CR SHAFT GEAR OPER. API-609 CAT.B</t>
  </si>
  <si>
    <t>3.7.44</t>
  </si>
  <si>
    <t>VA-18"-1112A-GATE 150# RF A216-WCB BB OS&amp;Y RS TRIM 13CR STELLITED FLEXIBLE WEDGE GEAR OPER. API-600</t>
  </si>
  <si>
    <t>3.7.45</t>
  </si>
  <si>
    <t>VA-24"-1112A-GATE 150# RF A216-WCB BB OS&amp;Y RS TRIM 13CR STELLITED FLEXIBLE WEDGE GEAR OPER. API-600</t>
  </si>
  <si>
    <t>PIPE (塑膠)</t>
    <phoneticPr fontId="6" type="noConversion"/>
  </si>
  <si>
    <t>3.8.1</t>
    <phoneticPr fontId="6" type="noConversion"/>
  </si>
  <si>
    <t>P-1/2"-80-PVC PIPE TYPE B SMLS SCH80 UPVC PE ASME D-1785</t>
    <phoneticPr fontId="6" type="noConversion"/>
  </si>
  <si>
    <t>3.8.2</t>
  </si>
  <si>
    <t>P-3/4"-80-PVC PIPE TYPE B SMLS SCH80 UPVC PE ASME D-1785</t>
    <phoneticPr fontId="6" type="noConversion"/>
  </si>
  <si>
    <t>3.8.3</t>
  </si>
  <si>
    <t>P-1"-80-PVC PIPE TYPE B SMLS SCH80 UPVC PE ASME D-1785</t>
    <phoneticPr fontId="6" type="noConversion"/>
  </si>
  <si>
    <t>UPVC</t>
    <phoneticPr fontId="4" type="noConversion"/>
  </si>
  <si>
    <t>數量
(8/22)</t>
    <phoneticPr fontId="6" type="noConversion"/>
  </si>
  <si>
    <t>圖面數量(8/22)</t>
    <phoneticPr fontId="4" type="noConversion"/>
  </si>
  <si>
    <t>日期:  2025年  08月 22日</t>
    <phoneticPr fontId="6" type="noConversion"/>
  </si>
  <si>
    <t>訂購編號：202508/22-001</t>
    <phoneticPr fontId="6" type="noConversion"/>
  </si>
  <si>
    <t>交期20天</t>
  </si>
  <si>
    <t>SMLS 交期20天</t>
  </si>
  <si>
    <t>交期7天</t>
  </si>
  <si>
    <t>SMLS 交期7天</t>
  </si>
  <si>
    <t>交期30天</t>
  </si>
  <si>
    <t>SUS304 交期30天</t>
  </si>
  <si>
    <t>消防設備供</t>
    <phoneticPr fontId="4" type="noConversion"/>
  </si>
  <si>
    <t>收料數量
(9/1)</t>
    <phoneticPr fontId="6" type="noConversion"/>
  </si>
  <si>
    <t>收料數量
(9/10)</t>
    <phoneticPr fontId="6" type="noConversion"/>
  </si>
  <si>
    <t>收料數量
(9/12)</t>
    <phoneticPr fontId="6" type="noConversion"/>
  </si>
  <si>
    <t>收料數量
(9/16)</t>
    <phoneticPr fontId="6" type="noConversion"/>
  </si>
  <si>
    <t>收料數量
(9/22)</t>
    <phoneticPr fontId="6" type="noConversion"/>
  </si>
  <si>
    <t>收料數量
(9/26)</t>
    <phoneticPr fontId="6" type="noConversion"/>
  </si>
  <si>
    <t>收料數量
(9/30)</t>
    <phoneticPr fontId="6" type="noConversion"/>
  </si>
  <si>
    <t>2.6.37</t>
    <phoneticPr fontId="4" type="noConversion"/>
  </si>
  <si>
    <t>收料數量
(10/8)</t>
    <phoneticPr fontId="6" type="noConversion"/>
  </si>
  <si>
    <t>收料數量
(10/9)</t>
    <phoneticPr fontId="6" type="noConversion"/>
  </si>
  <si>
    <t>收料數量
(10/10)</t>
    <phoneticPr fontId="6" type="noConversion"/>
  </si>
  <si>
    <t>收料數量
(10/16</t>
    <phoneticPr fontId="6" type="noConversion"/>
  </si>
  <si>
    <t>數量
(10/20)</t>
    <phoneticPr fontId="4" type="noConversion"/>
  </si>
  <si>
    <t>3.11</t>
  </si>
  <si>
    <t>3.12</t>
  </si>
  <si>
    <t>3.13</t>
  </si>
  <si>
    <t>ES-1.1/2"X90-90 ELBOW 3000# SCRD (FNPT) A182-F304 ASME B16.11</t>
    <phoneticPr fontId="4" type="noConversion"/>
  </si>
  <si>
    <t>3.10</t>
    <phoneticPr fontId="4" type="noConversion"/>
  </si>
  <si>
    <t>FRSW-1/2"-FLANGE SW 150# RF A105 GALV. SCH80 BORE ASME B16.5</t>
    <phoneticPr fontId="4" type="noConversion"/>
  </si>
  <si>
    <t>SE-1.1/2"X1/2"-A234-WPB GALV. SWAGE ECC. SMLS SCH80 PBE MSS SP-95</t>
    <phoneticPr fontId="4" type="noConversion"/>
  </si>
  <si>
    <t>CFS-1/2"-A105 GALV. FULL COUPLING 3000# SW ASME B16.11</t>
    <phoneticPr fontId="4" type="noConversion"/>
  </si>
  <si>
    <t>CFS-1.1/2"-A105 GALV. FULL COUPLING 3000# SW ASME B16.11</t>
    <phoneticPr fontId="4" type="noConversion"/>
  </si>
  <si>
    <t>收料數量
(10/23</t>
    <phoneticPr fontId="6" type="noConversion"/>
  </si>
  <si>
    <t>收料數量
(11/04)</t>
    <phoneticPr fontId="6" type="noConversion"/>
  </si>
  <si>
    <t>PC</t>
  </si>
  <si>
    <t>收料數量
(11/10)</t>
    <phoneticPr fontId="6" type="noConversion"/>
  </si>
  <si>
    <t>數量
(11/11)</t>
    <phoneticPr fontId="4" type="noConversion"/>
  </si>
  <si>
    <t>收料數量
(11/13)</t>
    <phoneticPr fontId="6" type="noConversion"/>
  </si>
  <si>
    <t>收料數量
(11/21)</t>
    <phoneticPr fontId="6" type="noConversion"/>
  </si>
  <si>
    <t>收料數量
(11/11)</t>
    <phoneticPr fontId="6" type="noConversion"/>
  </si>
  <si>
    <t>數量
(12/04)</t>
    <phoneticPr fontId="4" type="noConversion"/>
  </si>
  <si>
    <t>收料數量
(12/05)</t>
    <phoneticPr fontId="6" type="noConversion"/>
  </si>
  <si>
    <t>數量
(12/15)</t>
    <phoneticPr fontId="4" type="noConversion"/>
  </si>
  <si>
    <t>3.11.1</t>
  </si>
  <si>
    <t>CFS-1"-FULL COUPLING SW SCH80 UPVC</t>
  </si>
  <si>
    <t>3.11.3</t>
  </si>
  <si>
    <t>VA-1/2"-1U44-GATE 800# SW/SCRD(NPT) A182-F304 BB OS&amp;Y RS TRIM 304SS STELLITED SOLID WEDGE API-602</t>
  </si>
  <si>
    <t>VA-1/2"-1U44</t>
  </si>
  <si>
    <t>收料數量
(12/19)</t>
    <phoneticPr fontId="6" type="noConversion"/>
  </si>
  <si>
    <t>收料數量
(01/06)</t>
    <phoneticPr fontId="6" type="noConversion"/>
  </si>
  <si>
    <t>數量
(12/26)</t>
    <phoneticPr fontId="4" type="noConversion"/>
  </si>
  <si>
    <t>收料數量
(01/20)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</si>
</sst>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_-* #,##0_-;\-* #,##0_-;_-* &quot;-&quot;??_-;_-@_-"/>
  </numFmts>
  <fonts count="1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標楷體"/>
      <family val="4"/>
      <charset val="136"/>
    </font>
    <font>
      <sz val="22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Times New Roman"/>
      <family val="1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2"/>
      <color theme="1"/>
      <name val="標楷體"/>
      <family val="4"/>
      <charset val="136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indexed="8"/>
      <name val="微軟正黑體"/>
      <family val="2"/>
      <charset val="136"/>
    </font>
    <font>
      <strike/>
      <sz val="12"/>
      <color rgb="FFFF0000"/>
      <name val="標楷體"/>
      <family val="4"/>
      <charset val="136"/>
    </font>
    <font>
      <sz val="10"/>
      <name val="標楷體"/>
      <family val="4"/>
      <charset val="136"/>
    </font>
    <font>
      <sz val="12"/>
      <color indexed="8"/>
      <name val="標楷體"/>
      <family val="4"/>
      <charset val="136"/>
    </font>
    <font>
      <sz val="12"/>
      <color indexed="10"/>
      <name val="標楷體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0" fillId="0" borderId="0"/>
    <xf numFmtId="9" fontId="1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0" borderId="0" xfId="1">
      <alignment vertical="center"/>
    </xf>
    <xf numFmtId="0" fontId="2" fillId="0" borderId="0" xfId="1" applyAlignment="1"/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176" fontId="2" fillId="0" borderId="0" xfId="8" applyNumberFormat="1" applyFont="1">
      <alignment vertical="center"/>
    </xf>
    <xf numFmtId="176" fontId="9" fillId="0" borderId="2" xfId="8" applyNumberFormat="1" applyFont="1" applyBorder="1" applyAlignment="1">
      <alignment horizontal="center" vertical="center"/>
    </xf>
    <xf numFmtId="43" fontId="8" fillId="0" borderId="0" xfId="8" quotePrefix="1" applyFont="1" applyAlignment="1">
      <alignment horizontal="left"/>
    </xf>
    <xf numFmtId="43" fontId="2" fillId="0" borderId="0" xfId="8" applyFont="1">
      <alignment vertical="center"/>
    </xf>
    <xf numFmtId="0" fontId="2" fillId="0" borderId="0" xfId="1" applyAlignment="1">
      <alignment vertical="center" wrapText="1"/>
    </xf>
    <xf numFmtId="176" fontId="2" fillId="0" borderId="0" xfId="8" applyNumberFormat="1" applyFont="1" applyAlignment="1"/>
    <xf numFmtId="176" fontId="7" fillId="0" borderId="0" xfId="8" applyNumberFormat="1" applyFont="1">
      <alignment vertical="center"/>
    </xf>
    <xf numFmtId="176" fontId="7" fillId="0" borderId="0" xfId="8" applyNumberFormat="1" applyFont="1" applyAlignment="1">
      <alignment horizontal="center" vertical="center"/>
    </xf>
    <xf numFmtId="176" fontId="2" fillId="0" borderId="1" xfId="0" applyNumberFormat="1" applyFont="1" applyBorder="1" applyAlignment="1"/>
    <xf numFmtId="0" fontId="3" fillId="0" borderId="0" xfId="0" quotePrefix="1" applyFont="1" applyAlignment="1"/>
    <xf numFmtId="176" fontId="14" fillId="2" borderId="0" xfId="8" applyNumberFormat="1" applyFont="1" applyFill="1" applyAlignment="1">
      <alignment horizontal="center" wrapText="1"/>
    </xf>
    <xf numFmtId="176" fontId="7" fillId="0" borderId="0" xfId="1" applyNumberFormat="1" applyFont="1">
      <alignment vertical="center"/>
    </xf>
    <xf numFmtId="41" fontId="2" fillId="0" borderId="0" xfId="0" applyNumberFormat="1" applyFont="1" applyAlignment="1"/>
    <xf numFmtId="41" fontId="2" fillId="0" borderId="0" xfId="6" applyNumberFormat="1" applyFont="1" applyFill="1" applyBorder="1"/>
    <xf numFmtId="0" fontId="2" fillId="3" borderId="0" xfId="0" applyFont="1" applyFill="1" applyAlignment="1">
      <alignment horizontal="center"/>
    </xf>
    <xf numFmtId="41" fontId="2" fillId="3" borderId="4" xfId="6" applyNumberFormat="1" applyFont="1" applyFill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8" fillId="0" borderId="7" xfId="1" applyFont="1" applyBorder="1" applyAlignment="1">
      <alignment horizontal="center" vertical="center" wrapText="1"/>
    </xf>
    <xf numFmtId="0" fontId="2" fillId="0" borderId="7" xfId="1" quotePrefix="1" applyBorder="1" applyAlignment="1">
      <alignment horizontal="center" vertical="center"/>
    </xf>
    <xf numFmtId="43" fontId="2" fillId="0" borderId="7" xfId="8" quotePrefix="1" applyFont="1" applyBorder="1" applyAlignment="1">
      <alignment horizontal="center" vertical="center" wrapText="1"/>
    </xf>
    <xf numFmtId="0" fontId="2" fillId="0" borderId="7" xfId="1" applyBorder="1" applyAlignment="1">
      <alignment horizontal="center" vertical="center"/>
    </xf>
    <xf numFmtId="176" fontId="7" fillId="0" borderId="8" xfId="8" applyNumberFormat="1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2" fillId="0" borderId="1" xfId="1" quotePrefix="1" applyBorder="1" applyAlignment="1">
      <alignment horizontal="center" vertical="center"/>
    </xf>
    <xf numFmtId="43" fontId="2" fillId="0" borderId="1" xfId="8" quotePrefix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176" fontId="7" fillId="0" borderId="5" xfId="8" applyNumberFormat="1" applyFont="1" applyBorder="1">
      <alignment vertical="center"/>
    </xf>
    <xf numFmtId="0" fontId="15" fillId="0" borderId="1" xfId="0" applyFont="1" applyBorder="1" applyAlignment="1">
      <alignment horizontal="left" vertical="center" wrapText="1"/>
    </xf>
    <xf numFmtId="0" fontId="2" fillId="0" borderId="1" xfId="1" quotePrefix="1" applyBorder="1" applyAlignment="1">
      <alignment horizontal="left" vertical="center" wrapText="1"/>
    </xf>
    <xf numFmtId="176" fontId="2" fillId="0" borderId="1" xfId="8" quotePrefix="1" applyNumberFormat="1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2" fillId="0" borderId="9" xfId="1" applyBorder="1" applyAlignment="1">
      <alignment horizontal="center" vertical="center"/>
    </xf>
    <xf numFmtId="0" fontId="8" fillId="0" borderId="10" xfId="1" applyFont="1" applyBorder="1" applyAlignment="1">
      <alignment horizontal="left" vertical="top" wrapText="1"/>
    </xf>
    <xf numFmtId="0" fontId="2" fillId="0" borderId="10" xfId="1" quotePrefix="1" applyBorder="1" applyAlignment="1">
      <alignment horizontal="left" vertical="center" wrapText="1"/>
    </xf>
    <xf numFmtId="43" fontId="2" fillId="0" borderId="10" xfId="8" quotePrefix="1" applyFont="1" applyBorder="1" applyAlignment="1">
      <alignment horizontal="center" vertical="center" wrapText="1"/>
    </xf>
    <xf numFmtId="0" fontId="2" fillId="0" borderId="10" xfId="1" applyBorder="1" applyAlignment="1">
      <alignment horizontal="center" vertical="center"/>
    </xf>
    <xf numFmtId="176" fontId="7" fillId="0" borderId="11" xfId="8" applyNumberFormat="1" applyFont="1" applyBorder="1">
      <alignment vertical="center"/>
    </xf>
    <xf numFmtId="0" fontId="15" fillId="2" borderId="3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2" fillId="0" borderId="12" xfId="1" quotePrefix="1" applyBorder="1" applyAlignment="1">
      <alignment horizontal="left" vertical="center" wrapText="1"/>
    </xf>
    <xf numFmtId="0" fontId="15" fillId="2" borderId="3" xfId="0" quotePrefix="1" applyFont="1" applyFill="1" applyBorder="1" applyAlignment="1">
      <alignment horizontal="center" vertical="center"/>
    </xf>
    <xf numFmtId="0" fontId="7" fillId="5" borderId="0" xfId="1" applyFont="1" applyFill="1">
      <alignment vertical="center"/>
    </xf>
    <xf numFmtId="0" fontId="7" fillId="6" borderId="0" xfId="1" applyFont="1" applyFill="1">
      <alignment vertical="center"/>
    </xf>
    <xf numFmtId="0" fontId="2" fillId="0" borderId="0" xfId="1" quotePrefix="1" applyAlignment="1">
      <alignment horizontal="left"/>
    </xf>
    <xf numFmtId="176" fontId="2" fillId="0" borderId="0" xfId="8" applyNumberFormat="1" applyFont="1" applyAlignment="1">
      <alignment horizontal="center" vertical="center"/>
    </xf>
  </cellXfs>
  <cellStyles count="25">
    <cellStyle name="一般" xfId="0" builtinId="0"/>
    <cellStyle name="一般 2" xfId="5" xr:uid="{00000000-0005-0000-0000-000001000000}"/>
    <cellStyle name="一般 2 2" xfId="1" xr:uid="{00000000-0005-0000-0000-000002000000}"/>
    <cellStyle name="一般 2 3" xfId="14" xr:uid="{06AA21AE-D46B-4963-ADC8-43DF701F49B0}"/>
    <cellStyle name="一般 2 4" xfId="12" xr:uid="{D0DB9807-250B-43C2-868F-54555DAA5921}"/>
    <cellStyle name="一般 3" xfId="4" xr:uid="{00000000-0005-0000-0000-000003000000}"/>
    <cellStyle name="千分位" xfId="8" builtinId="3"/>
    <cellStyle name="千分位 2" xfId="3" xr:uid="{00000000-0005-0000-0000-000005000000}"/>
    <cellStyle name="千分位 2 2" xfId="9" xr:uid="{CE25E828-7F3E-45C1-BF1E-C15E8B28BD63}"/>
    <cellStyle name="千分位 2 2 2" xfId="15" xr:uid="{0A27585A-0BD8-4337-AB88-9C4810BCD821}"/>
    <cellStyle name="千分位 2 2 2 2" xfId="24" xr:uid="{966C6FD1-A0A0-4290-BDFC-57D3E39C987E}"/>
    <cellStyle name="千分位 2 2 3" xfId="21" xr:uid="{DA3E1F02-1E65-4F53-8BD2-96C455F0208F}"/>
    <cellStyle name="千分位 2 3" xfId="11" xr:uid="{3A10886E-CAB1-4591-A78A-8802DF6F7453}"/>
    <cellStyle name="千分位 2 3 2" xfId="23" xr:uid="{7670EA5D-320B-4681-8AF8-E818F4643F62}"/>
    <cellStyle name="千分位 2 4" xfId="17" xr:uid="{EC529427-D3BB-4894-BCEA-D80097737992}"/>
    <cellStyle name="千分位 3" xfId="6" xr:uid="{00000000-0005-0000-0000-000006000000}"/>
    <cellStyle name="千分位 3 2" xfId="18" xr:uid="{B6405033-E2BC-4F30-B4C4-1844B025DF42}"/>
    <cellStyle name="千分位 4" xfId="20" xr:uid="{8DF142CA-83C5-4146-AC6E-B62329E58FDA}"/>
    <cellStyle name="千分位[0] 2" xfId="2" xr:uid="{00000000-0005-0000-0000-000007000000}"/>
    <cellStyle name="千分位[0] 2 2" xfId="10" xr:uid="{BAD4987A-3B66-48F7-9EEA-54A410582B75}"/>
    <cellStyle name="千分位[0] 2 2 2" xfId="22" xr:uid="{DB49AD7B-BC2A-4EA0-AC38-FB0F75E6DEE8}"/>
    <cellStyle name="千分位[0] 2 3" xfId="16" xr:uid="{1DC139FF-7E7E-4B52-9CAA-BCDCDD21978B}"/>
    <cellStyle name="千分位[0] 3" xfId="7" xr:uid="{00000000-0005-0000-0000-000008000000}"/>
    <cellStyle name="千分位[0] 3 2" xfId="19" xr:uid="{1994C1A5-AAB7-4C77-8C7F-2EE750CA9D2B}"/>
    <cellStyle name="百分比 2" xfId="13" xr:uid="{60577D5F-426A-438B-8DF5-0DA25C83CF3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AL269"/>
  <sheetViews>
    <sheetView tabSelected="1" zoomScale="85" zoomScaleNormal="85" workbookViewId="0">
      <pane ySplit="3" topLeftCell="A125" activePane="bottomLeft" state="frozen"/>
      <selection pane="bottomLeft" activeCell="K133" sqref="K133"/>
    </sheetView>
  </sheetViews>
  <sheetFormatPr defaultColWidth="10" defaultRowHeight="16.5" outlineLevelCol="1" x14ac:dyDescent="0.25"/>
  <cols>
    <col min="1" max="1" width="6.875" style="1" customWidth="1"/>
    <col min="2" max="2" width="72.25" style="9" customWidth="1"/>
    <col min="3" max="3" width="24.125" style="1" customWidth="1"/>
    <col min="4" max="4" width="6.625" style="8" customWidth="1"/>
    <col min="5" max="5" width="12.5" style="1" customWidth="1"/>
    <col min="6" max="7" width="11.625" style="5" customWidth="1"/>
    <col min="8" max="8" width="10.125" style="5" customWidth="1" outlineLevel="1"/>
    <col min="9" max="9" width="10.125" style="1" customWidth="1" outlineLevel="1"/>
    <col min="10" max="14" width="10" style="1" customWidth="1" outlineLevel="1"/>
    <col min="15" max="15" width="10" style="1" customWidth="1" outlineLevel="1" collapsed="1"/>
    <col min="16" max="16" width="10" style="1" customWidth="1" outlineLevel="1"/>
    <col min="17" max="17" width="10" style="1"/>
    <col min="18" max="27" width="10" style="1" customWidth="1" outlineLevel="1"/>
    <col min="28" max="28" width="11.625" style="1" customWidth="1" outlineLevel="1"/>
    <col min="29" max="35" width="10" style="1" customWidth="1" outlineLevel="1"/>
    <col min="36" max="194" width="10" style="1"/>
    <col min="195" max="195" width="6.125" style="1" customWidth="1"/>
    <col min="196" max="196" width="12.625" style="1" customWidth="1"/>
    <col min="197" max="197" width="15.625" style="1" customWidth="1"/>
    <col min="198" max="198" width="17.625" style="1" customWidth="1"/>
    <col min="199" max="199" width="9.875" style="1" customWidth="1"/>
    <col min="200" max="200" width="7.125" style="1" customWidth="1"/>
    <col min="201" max="201" width="8.875" style="1" customWidth="1"/>
    <col min="202" max="202" width="10.875" style="1" customWidth="1"/>
    <col min="203" max="203" width="8" style="1" customWidth="1"/>
    <col min="204" max="205" width="10" style="1" customWidth="1"/>
    <col min="206" max="206" width="12.875" style="1" customWidth="1"/>
    <col min="207" max="207" width="13.5" style="1" customWidth="1"/>
    <col min="208" max="450" width="10" style="1"/>
    <col min="451" max="451" width="6.125" style="1" customWidth="1"/>
    <col min="452" max="452" width="12.625" style="1" customWidth="1"/>
    <col min="453" max="453" width="15.625" style="1" customWidth="1"/>
    <col min="454" max="454" width="17.625" style="1" customWidth="1"/>
    <col min="455" max="455" width="9.875" style="1" customWidth="1"/>
    <col min="456" max="456" width="7.125" style="1" customWidth="1"/>
    <col min="457" max="457" width="8.875" style="1" customWidth="1"/>
    <col min="458" max="458" width="10.875" style="1" customWidth="1"/>
    <col min="459" max="459" width="8" style="1" customWidth="1"/>
    <col min="460" max="461" width="10" style="1" customWidth="1"/>
    <col min="462" max="462" width="12.875" style="1" customWidth="1"/>
    <col min="463" max="463" width="13.5" style="1" customWidth="1"/>
    <col min="464" max="706" width="10" style="1"/>
    <col min="707" max="707" width="6.125" style="1" customWidth="1"/>
    <col min="708" max="708" width="12.625" style="1" customWidth="1"/>
    <col min="709" max="709" width="15.625" style="1" customWidth="1"/>
    <col min="710" max="710" width="17.625" style="1" customWidth="1"/>
    <col min="711" max="711" width="9.875" style="1" customWidth="1"/>
    <col min="712" max="712" width="7.125" style="1" customWidth="1"/>
    <col min="713" max="713" width="8.875" style="1" customWidth="1"/>
    <col min="714" max="714" width="10.875" style="1" customWidth="1"/>
    <col min="715" max="715" width="8" style="1" customWidth="1"/>
    <col min="716" max="717" width="10" style="1" customWidth="1"/>
    <col min="718" max="718" width="12.875" style="1" customWidth="1"/>
    <col min="719" max="719" width="13.5" style="1" customWidth="1"/>
    <col min="720" max="962" width="10" style="1"/>
    <col min="963" max="963" width="6.125" style="1" customWidth="1"/>
    <col min="964" max="964" width="12.625" style="1" customWidth="1"/>
    <col min="965" max="965" width="15.625" style="1" customWidth="1"/>
    <col min="966" max="966" width="17.625" style="1" customWidth="1"/>
    <col min="967" max="967" width="9.875" style="1" customWidth="1"/>
    <col min="968" max="968" width="7.125" style="1" customWidth="1"/>
    <col min="969" max="969" width="8.875" style="1" customWidth="1"/>
    <col min="970" max="970" width="10.875" style="1" customWidth="1"/>
    <col min="971" max="971" width="8" style="1" customWidth="1"/>
    <col min="972" max="973" width="10" style="1" customWidth="1"/>
    <col min="974" max="974" width="12.875" style="1" customWidth="1"/>
    <col min="975" max="975" width="13.5" style="1" customWidth="1"/>
    <col min="976" max="1218" width="10" style="1"/>
    <col min="1219" max="1219" width="6.125" style="1" customWidth="1"/>
    <col min="1220" max="1220" width="12.625" style="1" customWidth="1"/>
    <col min="1221" max="1221" width="15.625" style="1" customWidth="1"/>
    <col min="1222" max="1222" width="17.625" style="1" customWidth="1"/>
    <col min="1223" max="1223" width="9.875" style="1" customWidth="1"/>
    <col min="1224" max="1224" width="7.125" style="1" customWidth="1"/>
    <col min="1225" max="1225" width="8.875" style="1" customWidth="1"/>
    <col min="1226" max="1226" width="10.875" style="1" customWidth="1"/>
    <col min="1227" max="1227" width="8" style="1" customWidth="1"/>
    <col min="1228" max="1229" width="10" style="1" customWidth="1"/>
    <col min="1230" max="1230" width="12.875" style="1" customWidth="1"/>
    <col min="1231" max="1231" width="13.5" style="1" customWidth="1"/>
    <col min="1232" max="1474" width="10" style="1"/>
    <col min="1475" max="1475" width="6.125" style="1" customWidth="1"/>
    <col min="1476" max="1476" width="12.625" style="1" customWidth="1"/>
    <col min="1477" max="1477" width="15.625" style="1" customWidth="1"/>
    <col min="1478" max="1478" width="17.625" style="1" customWidth="1"/>
    <col min="1479" max="1479" width="9.875" style="1" customWidth="1"/>
    <col min="1480" max="1480" width="7.125" style="1" customWidth="1"/>
    <col min="1481" max="1481" width="8.875" style="1" customWidth="1"/>
    <col min="1482" max="1482" width="10.875" style="1" customWidth="1"/>
    <col min="1483" max="1483" width="8" style="1" customWidth="1"/>
    <col min="1484" max="1485" width="10" style="1" customWidth="1"/>
    <col min="1486" max="1486" width="12.875" style="1" customWidth="1"/>
    <col min="1487" max="1487" width="13.5" style="1" customWidth="1"/>
    <col min="1488" max="1730" width="10" style="1"/>
    <col min="1731" max="1731" width="6.125" style="1" customWidth="1"/>
    <col min="1732" max="1732" width="12.625" style="1" customWidth="1"/>
    <col min="1733" max="1733" width="15.625" style="1" customWidth="1"/>
    <col min="1734" max="1734" width="17.625" style="1" customWidth="1"/>
    <col min="1735" max="1735" width="9.875" style="1" customWidth="1"/>
    <col min="1736" max="1736" width="7.125" style="1" customWidth="1"/>
    <col min="1737" max="1737" width="8.875" style="1" customWidth="1"/>
    <col min="1738" max="1738" width="10.875" style="1" customWidth="1"/>
    <col min="1739" max="1739" width="8" style="1" customWidth="1"/>
    <col min="1740" max="1741" width="10" style="1" customWidth="1"/>
    <col min="1742" max="1742" width="12.875" style="1" customWidth="1"/>
    <col min="1743" max="1743" width="13.5" style="1" customWidth="1"/>
    <col min="1744" max="1986" width="10" style="1"/>
    <col min="1987" max="1987" width="6.125" style="1" customWidth="1"/>
    <col min="1988" max="1988" width="12.625" style="1" customWidth="1"/>
    <col min="1989" max="1989" width="15.625" style="1" customWidth="1"/>
    <col min="1990" max="1990" width="17.625" style="1" customWidth="1"/>
    <col min="1991" max="1991" width="9.875" style="1" customWidth="1"/>
    <col min="1992" max="1992" width="7.125" style="1" customWidth="1"/>
    <col min="1993" max="1993" width="8.875" style="1" customWidth="1"/>
    <col min="1994" max="1994" width="10.875" style="1" customWidth="1"/>
    <col min="1995" max="1995" width="8" style="1" customWidth="1"/>
    <col min="1996" max="1997" width="10" style="1" customWidth="1"/>
    <col min="1998" max="1998" width="12.875" style="1" customWidth="1"/>
    <col min="1999" max="1999" width="13.5" style="1" customWidth="1"/>
    <col min="2000" max="2242" width="10" style="1"/>
    <col min="2243" max="2243" width="6.125" style="1" customWidth="1"/>
    <col min="2244" max="2244" width="12.625" style="1" customWidth="1"/>
    <col min="2245" max="2245" width="15.625" style="1" customWidth="1"/>
    <col min="2246" max="2246" width="17.625" style="1" customWidth="1"/>
    <col min="2247" max="2247" width="9.875" style="1" customWidth="1"/>
    <col min="2248" max="2248" width="7.125" style="1" customWidth="1"/>
    <col min="2249" max="2249" width="8.875" style="1" customWidth="1"/>
    <col min="2250" max="2250" width="10.875" style="1" customWidth="1"/>
    <col min="2251" max="2251" width="8" style="1" customWidth="1"/>
    <col min="2252" max="2253" width="10" style="1" customWidth="1"/>
    <col min="2254" max="2254" width="12.875" style="1" customWidth="1"/>
    <col min="2255" max="2255" width="13.5" style="1" customWidth="1"/>
    <col min="2256" max="2498" width="10" style="1"/>
    <col min="2499" max="2499" width="6.125" style="1" customWidth="1"/>
    <col min="2500" max="2500" width="12.625" style="1" customWidth="1"/>
    <col min="2501" max="2501" width="15.625" style="1" customWidth="1"/>
    <col min="2502" max="2502" width="17.625" style="1" customWidth="1"/>
    <col min="2503" max="2503" width="9.875" style="1" customWidth="1"/>
    <col min="2504" max="2504" width="7.125" style="1" customWidth="1"/>
    <col min="2505" max="2505" width="8.875" style="1" customWidth="1"/>
    <col min="2506" max="2506" width="10.875" style="1" customWidth="1"/>
    <col min="2507" max="2507" width="8" style="1" customWidth="1"/>
    <col min="2508" max="2509" width="10" style="1" customWidth="1"/>
    <col min="2510" max="2510" width="12.875" style="1" customWidth="1"/>
    <col min="2511" max="2511" width="13.5" style="1" customWidth="1"/>
    <col min="2512" max="2754" width="10" style="1"/>
    <col min="2755" max="2755" width="6.125" style="1" customWidth="1"/>
    <col min="2756" max="2756" width="12.625" style="1" customWidth="1"/>
    <col min="2757" max="2757" width="15.625" style="1" customWidth="1"/>
    <col min="2758" max="2758" width="17.625" style="1" customWidth="1"/>
    <col min="2759" max="2759" width="9.875" style="1" customWidth="1"/>
    <col min="2760" max="2760" width="7.125" style="1" customWidth="1"/>
    <col min="2761" max="2761" width="8.875" style="1" customWidth="1"/>
    <col min="2762" max="2762" width="10.875" style="1" customWidth="1"/>
    <col min="2763" max="2763" width="8" style="1" customWidth="1"/>
    <col min="2764" max="2765" width="10" style="1" customWidth="1"/>
    <col min="2766" max="2766" width="12.875" style="1" customWidth="1"/>
    <col min="2767" max="2767" width="13.5" style="1" customWidth="1"/>
    <col min="2768" max="3010" width="10" style="1"/>
    <col min="3011" max="3011" width="6.125" style="1" customWidth="1"/>
    <col min="3012" max="3012" width="12.625" style="1" customWidth="1"/>
    <col min="3013" max="3013" width="15.625" style="1" customWidth="1"/>
    <col min="3014" max="3014" width="17.625" style="1" customWidth="1"/>
    <col min="3015" max="3015" width="9.875" style="1" customWidth="1"/>
    <col min="3016" max="3016" width="7.125" style="1" customWidth="1"/>
    <col min="3017" max="3017" width="8.875" style="1" customWidth="1"/>
    <col min="3018" max="3018" width="10.875" style="1" customWidth="1"/>
    <col min="3019" max="3019" width="8" style="1" customWidth="1"/>
    <col min="3020" max="3021" width="10" style="1" customWidth="1"/>
    <col min="3022" max="3022" width="12.875" style="1" customWidth="1"/>
    <col min="3023" max="3023" width="13.5" style="1" customWidth="1"/>
    <col min="3024" max="3266" width="10" style="1"/>
    <col min="3267" max="3267" width="6.125" style="1" customWidth="1"/>
    <col min="3268" max="3268" width="12.625" style="1" customWidth="1"/>
    <col min="3269" max="3269" width="15.625" style="1" customWidth="1"/>
    <col min="3270" max="3270" width="17.625" style="1" customWidth="1"/>
    <col min="3271" max="3271" width="9.875" style="1" customWidth="1"/>
    <col min="3272" max="3272" width="7.125" style="1" customWidth="1"/>
    <col min="3273" max="3273" width="8.875" style="1" customWidth="1"/>
    <col min="3274" max="3274" width="10.875" style="1" customWidth="1"/>
    <col min="3275" max="3275" width="8" style="1" customWidth="1"/>
    <col min="3276" max="3277" width="10" style="1" customWidth="1"/>
    <col min="3278" max="3278" width="12.875" style="1" customWidth="1"/>
    <col min="3279" max="3279" width="13.5" style="1" customWidth="1"/>
    <col min="3280" max="3522" width="10" style="1"/>
    <col min="3523" max="3523" width="6.125" style="1" customWidth="1"/>
    <col min="3524" max="3524" width="12.625" style="1" customWidth="1"/>
    <col min="3525" max="3525" width="15.625" style="1" customWidth="1"/>
    <col min="3526" max="3526" width="17.625" style="1" customWidth="1"/>
    <col min="3527" max="3527" width="9.875" style="1" customWidth="1"/>
    <col min="3528" max="3528" width="7.125" style="1" customWidth="1"/>
    <col min="3529" max="3529" width="8.875" style="1" customWidth="1"/>
    <col min="3530" max="3530" width="10.875" style="1" customWidth="1"/>
    <col min="3531" max="3531" width="8" style="1" customWidth="1"/>
    <col min="3532" max="3533" width="10" style="1" customWidth="1"/>
    <col min="3534" max="3534" width="12.875" style="1" customWidth="1"/>
    <col min="3535" max="3535" width="13.5" style="1" customWidth="1"/>
    <col min="3536" max="3778" width="10" style="1"/>
    <col min="3779" max="3779" width="6.125" style="1" customWidth="1"/>
    <col min="3780" max="3780" width="12.625" style="1" customWidth="1"/>
    <col min="3781" max="3781" width="15.625" style="1" customWidth="1"/>
    <col min="3782" max="3782" width="17.625" style="1" customWidth="1"/>
    <col min="3783" max="3783" width="9.875" style="1" customWidth="1"/>
    <col min="3784" max="3784" width="7.125" style="1" customWidth="1"/>
    <col min="3785" max="3785" width="8.875" style="1" customWidth="1"/>
    <col min="3786" max="3786" width="10.875" style="1" customWidth="1"/>
    <col min="3787" max="3787" width="8" style="1" customWidth="1"/>
    <col min="3788" max="3789" width="10" style="1" customWidth="1"/>
    <col min="3790" max="3790" width="12.875" style="1" customWidth="1"/>
    <col min="3791" max="3791" width="13.5" style="1" customWidth="1"/>
    <col min="3792" max="4034" width="10" style="1"/>
    <col min="4035" max="4035" width="6.125" style="1" customWidth="1"/>
    <col min="4036" max="4036" width="12.625" style="1" customWidth="1"/>
    <col min="4037" max="4037" width="15.625" style="1" customWidth="1"/>
    <col min="4038" max="4038" width="17.625" style="1" customWidth="1"/>
    <col min="4039" max="4039" width="9.875" style="1" customWidth="1"/>
    <col min="4040" max="4040" width="7.125" style="1" customWidth="1"/>
    <col min="4041" max="4041" width="8.875" style="1" customWidth="1"/>
    <col min="4042" max="4042" width="10.875" style="1" customWidth="1"/>
    <col min="4043" max="4043" width="8" style="1" customWidth="1"/>
    <col min="4044" max="4045" width="10" style="1" customWidth="1"/>
    <col min="4046" max="4046" width="12.875" style="1" customWidth="1"/>
    <col min="4047" max="4047" width="13.5" style="1" customWidth="1"/>
    <col min="4048" max="4290" width="10" style="1"/>
    <col min="4291" max="4291" width="6.125" style="1" customWidth="1"/>
    <col min="4292" max="4292" width="12.625" style="1" customWidth="1"/>
    <col min="4293" max="4293" width="15.625" style="1" customWidth="1"/>
    <col min="4294" max="4294" width="17.625" style="1" customWidth="1"/>
    <col min="4295" max="4295" width="9.875" style="1" customWidth="1"/>
    <col min="4296" max="4296" width="7.125" style="1" customWidth="1"/>
    <col min="4297" max="4297" width="8.875" style="1" customWidth="1"/>
    <col min="4298" max="4298" width="10.875" style="1" customWidth="1"/>
    <col min="4299" max="4299" width="8" style="1" customWidth="1"/>
    <col min="4300" max="4301" width="10" style="1" customWidth="1"/>
    <col min="4302" max="4302" width="12.875" style="1" customWidth="1"/>
    <col min="4303" max="4303" width="13.5" style="1" customWidth="1"/>
    <col min="4304" max="4546" width="10" style="1"/>
    <col min="4547" max="4547" width="6.125" style="1" customWidth="1"/>
    <col min="4548" max="4548" width="12.625" style="1" customWidth="1"/>
    <col min="4549" max="4549" width="15.625" style="1" customWidth="1"/>
    <col min="4550" max="4550" width="17.625" style="1" customWidth="1"/>
    <col min="4551" max="4551" width="9.875" style="1" customWidth="1"/>
    <col min="4552" max="4552" width="7.125" style="1" customWidth="1"/>
    <col min="4553" max="4553" width="8.875" style="1" customWidth="1"/>
    <col min="4554" max="4554" width="10.875" style="1" customWidth="1"/>
    <col min="4555" max="4555" width="8" style="1" customWidth="1"/>
    <col min="4556" max="4557" width="10" style="1" customWidth="1"/>
    <col min="4558" max="4558" width="12.875" style="1" customWidth="1"/>
    <col min="4559" max="4559" width="13.5" style="1" customWidth="1"/>
    <col min="4560" max="4802" width="10" style="1"/>
    <col min="4803" max="4803" width="6.125" style="1" customWidth="1"/>
    <col min="4804" max="4804" width="12.625" style="1" customWidth="1"/>
    <col min="4805" max="4805" width="15.625" style="1" customWidth="1"/>
    <col min="4806" max="4806" width="17.625" style="1" customWidth="1"/>
    <col min="4807" max="4807" width="9.875" style="1" customWidth="1"/>
    <col min="4808" max="4808" width="7.125" style="1" customWidth="1"/>
    <col min="4809" max="4809" width="8.875" style="1" customWidth="1"/>
    <col min="4810" max="4810" width="10.875" style="1" customWidth="1"/>
    <col min="4811" max="4811" width="8" style="1" customWidth="1"/>
    <col min="4812" max="4813" width="10" style="1" customWidth="1"/>
    <col min="4814" max="4814" width="12.875" style="1" customWidth="1"/>
    <col min="4815" max="4815" width="13.5" style="1" customWidth="1"/>
    <col min="4816" max="5058" width="10" style="1"/>
    <col min="5059" max="5059" width="6.125" style="1" customWidth="1"/>
    <col min="5060" max="5060" width="12.625" style="1" customWidth="1"/>
    <col min="5061" max="5061" width="15.625" style="1" customWidth="1"/>
    <col min="5062" max="5062" width="17.625" style="1" customWidth="1"/>
    <col min="5063" max="5063" width="9.875" style="1" customWidth="1"/>
    <col min="5064" max="5064" width="7.125" style="1" customWidth="1"/>
    <col min="5065" max="5065" width="8.875" style="1" customWidth="1"/>
    <col min="5066" max="5066" width="10.875" style="1" customWidth="1"/>
    <col min="5067" max="5067" width="8" style="1" customWidth="1"/>
    <col min="5068" max="5069" width="10" style="1" customWidth="1"/>
    <col min="5070" max="5070" width="12.875" style="1" customWidth="1"/>
    <col min="5071" max="5071" width="13.5" style="1" customWidth="1"/>
    <col min="5072" max="5314" width="10" style="1"/>
    <col min="5315" max="5315" width="6.125" style="1" customWidth="1"/>
    <col min="5316" max="5316" width="12.625" style="1" customWidth="1"/>
    <col min="5317" max="5317" width="15.625" style="1" customWidth="1"/>
    <col min="5318" max="5318" width="17.625" style="1" customWidth="1"/>
    <col min="5319" max="5319" width="9.875" style="1" customWidth="1"/>
    <col min="5320" max="5320" width="7.125" style="1" customWidth="1"/>
    <col min="5321" max="5321" width="8.875" style="1" customWidth="1"/>
    <col min="5322" max="5322" width="10.875" style="1" customWidth="1"/>
    <col min="5323" max="5323" width="8" style="1" customWidth="1"/>
    <col min="5324" max="5325" width="10" style="1" customWidth="1"/>
    <col min="5326" max="5326" width="12.875" style="1" customWidth="1"/>
    <col min="5327" max="5327" width="13.5" style="1" customWidth="1"/>
    <col min="5328" max="5570" width="10" style="1"/>
    <col min="5571" max="5571" width="6.125" style="1" customWidth="1"/>
    <col min="5572" max="5572" width="12.625" style="1" customWidth="1"/>
    <col min="5573" max="5573" width="15.625" style="1" customWidth="1"/>
    <col min="5574" max="5574" width="17.625" style="1" customWidth="1"/>
    <col min="5575" max="5575" width="9.875" style="1" customWidth="1"/>
    <col min="5576" max="5576" width="7.125" style="1" customWidth="1"/>
    <col min="5577" max="5577" width="8.875" style="1" customWidth="1"/>
    <col min="5578" max="5578" width="10.875" style="1" customWidth="1"/>
    <col min="5579" max="5579" width="8" style="1" customWidth="1"/>
    <col min="5580" max="5581" width="10" style="1" customWidth="1"/>
    <col min="5582" max="5582" width="12.875" style="1" customWidth="1"/>
    <col min="5583" max="5583" width="13.5" style="1" customWidth="1"/>
    <col min="5584" max="5826" width="10" style="1"/>
    <col min="5827" max="5827" width="6.125" style="1" customWidth="1"/>
    <col min="5828" max="5828" width="12.625" style="1" customWidth="1"/>
    <col min="5829" max="5829" width="15.625" style="1" customWidth="1"/>
    <col min="5830" max="5830" width="17.625" style="1" customWidth="1"/>
    <col min="5831" max="5831" width="9.875" style="1" customWidth="1"/>
    <col min="5832" max="5832" width="7.125" style="1" customWidth="1"/>
    <col min="5833" max="5833" width="8.875" style="1" customWidth="1"/>
    <col min="5834" max="5834" width="10.875" style="1" customWidth="1"/>
    <col min="5835" max="5835" width="8" style="1" customWidth="1"/>
    <col min="5836" max="5837" width="10" style="1" customWidth="1"/>
    <col min="5838" max="5838" width="12.875" style="1" customWidth="1"/>
    <col min="5839" max="5839" width="13.5" style="1" customWidth="1"/>
    <col min="5840" max="6082" width="10" style="1"/>
    <col min="6083" max="6083" width="6.125" style="1" customWidth="1"/>
    <col min="6084" max="6084" width="12.625" style="1" customWidth="1"/>
    <col min="6085" max="6085" width="15.625" style="1" customWidth="1"/>
    <col min="6086" max="6086" width="17.625" style="1" customWidth="1"/>
    <col min="6087" max="6087" width="9.875" style="1" customWidth="1"/>
    <col min="6088" max="6088" width="7.125" style="1" customWidth="1"/>
    <col min="6089" max="6089" width="8.875" style="1" customWidth="1"/>
    <col min="6090" max="6090" width="10.875" style="1" customWidth="1"/>
    <col min="6091" max="6091" width="8" style="1" customWidth="1"/>
    <col min="6092" max="6093" width="10" style="1" customWidth="1"/>
    <col min="6094" max="6094" width="12.875" style="1" customWidth="1"/>
    <col min="6095" max="6095" width="13.5" style="1" customWidth="1"/>
    <col min="6096" max="6338" width="10" style="1"/>
    <col min="6339" max="6339" width="6.125" style="1" customWidth="1"/>
    <col min="6340" max="6340" width="12.625" style="1" customWidth="1"/>
    <col min="6341" max="6341" width="15.625" style="1" customWidth="1"/>
    <col min="6342" max="6342" width="17.625" style="1" customWidth="1"/>
    <col min="6343" max="6343" width="9.875" style="1" customWidth="1"/>
    <col min="6344" max="6344" width="7.125" style="1" customWidth="1"/>
    <col min="6345" max="6345" width="8.875" style="1" customWidth="1"/>
    <col min="6346" max="6346" width="10.875" style="1" customWidth="1"/>
    <col min="6347" max="6347" width="8" style="1" customWidth="1"/>
    <col min="6348" max="6349" width="10" style="1" customWidth="1"/>
    <col min="6350" max="6350" width="12.875" style="1" customWidth="1"/>
    <col min="6351" max="6351" width="13.5" style="1" customWidth="1"/>
    <col min="6352" max="6594" width="10" style="1"/>
    <col min="6595" max="6595" width="6.125" style="1" customWidth="1"/>
    <col min="6596" max="6596" width="12.625" style="1" customWidth="1"/>
    <col min="6597" max="6597" width="15.625" style="1" customWidth="1"/>
    <col min="6598" max="6598" width="17.625" style="1" customWidth="1"/>
    <col min="6599" max="6599" width="9.875" style="1" customWidth="1"/>
    <col min="6600" max="6600" width="7.125" style="1" customWidth="1"/>
    <col min="6601" max="6601" width="8.875" style="1" customWidth="1"/>
    <col min="6602" max="6602" width="10.875" style="1" customWidth="1"/>
    <col min="6603" max="6603" width="8" style="1" customWidth="1"/>
    <col min="6604" max="6605" width="10" style="1" customWidth="1"/>
    <col min="6606" max="6606" width="12.875" style="1" customWidth="1"/>
    <col min="6607" max="6607" width="13.5" style="1" customWidth="1"/>
    <col min="6608" max="6850" width="10" style="1"/>
    <col min="6851" max="6851" width="6.125" style="1" customWidth="1"/>
    <col min="6852" max="6852" width="12.625" style="1" customWidth="1"/>
    <col min="6853" max="6853" width="15.625" style="1" customWidth="1"/>
    <col min="6854" max="6854" width="17.625" style="1" customWidth="1"/>
    <col min="6855" max="6855" width="9.875" style="1" customWidth="1"/>
    <col min="6856" max="6856" width="7.125" style="1" customWidth="1"/>
    <col min="6857" max="6857" width="8.875" style="1" customWidth="1"/>
    <col min="6858" max="6858" width="10.875" style="1" customWidth="1"/>
    <col min="6859" max="6859" width="8" style="1" customWidth="1"/>
    <col min="6860" max="6861" width="10" style="1" customWidth="1"/>
    <col min="6862" max="6862" width="12.875" style="1" customWidth="1"/>
    <col min="6863" max="6863" width="13.5" style="1" customWidth="1"/>
    <col min="6864" max="7106" width="10" style="1"/>
    <col min="7107" max="7107" width="6.125" style="1" customWidth="1"/>
    <col min="7108" max="7108" width="12.625" style="1" customWidth="1"/>
    <col min="7109" max="7109" width="15.625" style="1" customWidth="1"/>
    <col min="7110" max="7110" width="17.625" style="1" customWidth="1"/>
    <col min="7111" max="7111" width="9.875" style="1" customWidth="1"/>
    <col min="7112" max="7112" width="7.125" style="1" customWidth="1"/>
    <col min="7113" max="7113" width="8.875" style="1" customWidth="1"/>
    <col min="7114" max="7114" width="10.875" style="1" customWidth="1"/>
    <col min="7115" max="7115" width="8" style="1" customWidth="1"/>
    <col min="7116" max="7117" width="10" style="1" customWidth="1"/>
    <col min="7118" max="7118" width="12.875" style="1" customWidth="1"/>
    <col min="7119" max="7119" width="13.5" style="1" customWidth="1"/>
    <col min="7120" max="7362" width="10" style="1"/>
    <col min="7363" max="7363" width="6.125" style="1" customWidth="1"/>
    <col min="7364" max="7364" width="12.625" style="1" customWidth="1"/>
    <col min="7365" max="7365" width="15.625" style="1" customWidth="1"/>
    <col min="7366" max="7366" width="17.625" style="1" customWidth="1"/>
    <col min="7367" max="7367" width="9.875" style="1" customWidth="1"/>
    <col min="7368" max="7368" width="7.125" style="1" customWidth="1"/>
    <col min="7369" max="7369" width="8.875" style="1" customWidth="1"/>
    <col min="7370" max="7370" width="10.875" style="1" customWidth="1"/>
    <col min="7371" max="7371" width="8" style="1" customWidth="1"/>
    <col min="7372" max="7373" width="10" style="1" customWidth="1"/>
    <col min="7374" max="7374" width="12.875" style="1" customWidth="1"/>
    <col min="7375" max="7375" width="13.5" style="1" customWidth="1"/>
    <col min="7376" max="7618" width="10" style="1"/>
    <col min="7619" max="7619" width="6.125" style="1" customWidth="1"/>
    <col min="7620" max="7620" width="12.625" style="1" customWidth="1"/>
    <col min="7621" max="7621" width="15.625" style="1" customWidth="1"/>
    <col min="7622" max="7622" width="17.625" style="1" customWidth="1"/>
    <col min="7623" max="7623" width="9.875" style="1" customWidth="1"/>
    <col min="7624" max="7624" width="7.125" style="1" customWidth="1"/>
    <col min="7625" max="7625" width="8.875" style="1" customWidth="1"/>
    <col min="7626" max="7626" width="10.875" style="1" customWidth="1"/>
    <col min="7627" max="7627" width="8" style="1" customWidth="1"/>
    <col min="7628" max="7629" width="10" style="1" customWidth="1"/>
    <col min="7630" max="7630" width="12.875" style="1" customWidth="1"/>
    <col min="7631" max="7631" width="13.5" style="1" customWidth="1"/>
    <col min="7632" max="7874" width="10" style="1"/>
    <col min="7875" max="7875" width="6.125" style="1" customWidth="1"/>
    <col min="7876" max="7876" width="12.625" style="1" customWidth="1"/>
    <col min="7877" max="7877" width="15.625" style="1" customWidth="1"/>
    <col min="7878" max="7878" width="17.625" style="1" customWidth="1"/>
    <col min="7879" max="7879" width="9.875" style="1" customWidth="1"/>
    <col min="7880" max="7880" width="7.125" style="1" customWidth="1"/>
    <col min="7881" max="7881" width="8.875" style="1" customWidth="1"/>
    <col min="7882" max="7882" width="10.875" style="1" customWidth="1"/>
    <col min="7883" max="7883" width="8" style="1" customWidth="1"/>
    <col min="7884" max="7885" width="10" style="1" customWidth="1"/>
    <col min="7886" max="7886" width="12.875" style="1" customWidth="1"/>
    <col min="7887" max="7887" width="13.5" style="1" customWidth="1"/>
    <col min="7888" max="8130" width="10" style="1"/>
    <col min="8131" max="8131" width="6.125" style="1" customWidth="1"/>
    <col min="8132" max="8132" width="12.625" style="1" customWidth="1"/>
    <col min="8133" max="8133" width="15.625" style="1" customWidth="1"/>
    <col min="8134" max="8134" width="17.625" style="1" customWidth="1"/>
    <col min="8135" max="8135" width="9.875" style="1" customWidth="1"/>
    <col min="8136" max="8136" width="7.125" style="1" customWidth="1"/>
    <col min="8137" max="8137" width="8.875" style="1" customWidth="1"/>
    <col min="8138" max="8138" width="10.875" style="1" customWidth="1"/>
    <col min="8139" max="8139" width="8" style="1" customWidth="1"/>
    <col min="8140" max="8141" width="10" style="1" customWidth="1"/>
    <col min="8142" max="8142" width="12.875" style="1" customWidth="1"/>
    <col min="8143" max="8143" width="13.5" style="1" customWidth="1"/>
    <col min="8144" max="8386" width="10" style="1"/>
    <col min="8387" max="8387" width="6.125" style="1" customWidth="1"/>
    <col min="8388" max="8388" width="12.625" style="1" customWidth="1"/>
    <col min="8389" max="8389" width="15.625" style="1" customWidth="1"/>
    <col min="8390" max="8390" width="17.625" style="1" customWidth="1"/>
    <col min="8391" max="8391" width="9.875" style="1" customWidth="1"/>
    <col min="8392" max="8392" width="7.125" style="1" customWidth="1"/>
    <col min="8393" max="8393" width="8.875" style="1" customWidth="1"/>
    <col min="8394" max="8394" width="10.875" style="1" customWidth="1"/>
    <col min="8395" max="8395" width="8" style="1" customWidth="1"/>
    <col min="8396" max="8397" width="10" style="1" customWidth="1"/>
    <col min="8398" max="8398" width="12.875" style="1" customWidth="1"/>
    <col min="8399" max="8399" width="13.5" style="1" customWidth="1"/>
    <col min="8400" max="8642" width="10" style="1"/>
    <col min="8643" max="8643" width="6.125" style="1" customWidth="1"/>
    <col min="8644" max="8644" width="12.625" style="1" customWidth="1"/>
    <col min="8645" max="8645" width="15.625" style="1" customWidth="1"/>
    <col min="8646" max="8646" width="17.625" style="1" customWidth="1"/>
    <col min="8647" max="8647" width="9.875" style="1" customWidth="1"/>
    <col min="8648" max="8648" width="7.125" style="1" customWidth="1"/>
    <col min="8649" max="8649" width="8.875" style="1" customWidth="1"/>
    <col min="8650" max="8650" width="10.875" style="1" customWidth="1"/>
    <col min="8651" max="8651" width="8" style="1" customWidth="1"/>
    <col min="8652" max="8653" width="10" style="1" customWidth="1"/>
    <col min="8654" max="8654" width="12.875" style="1" customWidth="1"/>
    <col min="8655" max="8655" width="13.5" style="1" customWidth="1"/>
    <col min="8656" max="8898" width="10" style="1"/>
    <col min="8899" max="8899" width="6.125" style="1" customWidth="1"/>
    <col min="8900" max="8900" width="12.625" style="1" customWidth="1"/>
    <col min="8901" max="8901" width="15.625" style="1" customWidth="1"/>
    <col min="8902" max="8902" width="17.625" style="1" customWidth="1"/>
    <col min="8903" max="8903" width="9.875" style="1" customWidth="1"/>
    <col min="8904" max="8904" width="7.125" style="1" customWidth="1"/>
    <col min="8905" max="8905" width="8.875" style="1" customWidth="1"/>
    <col min="8906" max="8906" width="10.875" style="1" customWidth="1"/>
    <col min="8907" max="8907" width="8" style="1" customWidth="1"/>
    <col min="8908" max="8909" width="10" style="1" customWidth="1"/>
    <col min="8910" max="8910" width="12.875" style="1" customWidth="1"/>
    <col min="8911" max="8911" width="13.5" style="1" customWidth="1"/>
    <col min="8912" max="9154" width="10" style="1"/>
    <col min="9155" max="9155" width="6.125" style="1" customWidth="1"/>
    <col min="9156" max="9156" width="12.625" style="1" customWidth="1"/>
    <col min="9157" max="9157" width="15.625" style="1" customWidth="1"/>
    <col min="9158" max="9158" width="17.625" style="1" customWidth="1"/>
    <col min="9159" max="9159" width="9.875" style="1" customWidth="1"/>
    <col min="9160" max="9160" width="7.125" style="1" customWidth="1"/>
    <col min="9161" max="9161" width="8.875" style="1" customWidth="1"/>
    <col min="9162" max="9162" width="10.875" style="1" customWidth="1"/>
    <col min="9163" max="9163" width="8" style="1" customWidth="1"/>
    <col min="9164" max="9165" width="10" style="1" customWidth="1"/>
    <col min="9166" max="9166" width="12.875" style="1" customWidth="1"/>
    <col min="9167" max="9167" width="13.5" style="1" customWidth="1"/>
    <col min="9168" max="9410" width="10" style="1"/>
    <col min="9411" max="9411" width="6.125" style="1" customWidth="1"/>
    <col min="9412" max="9412" width="12.625" style="1" customWidth="1"/>
    <col min="9413" max="9413" width="15.625" style="1" customWidth="1"/>
    <col min="9414" max="9414" width="17.625" style="1" customWidth="1"/>
    <col min="9415" max="9415" width="9.875" style="1" customWidth="1"/>
    <col min="9416" max="9416" width="7.125" style="1" customWidth="1"/>
    <col min="9417" max="9417" width="8.875" style="1" customWidth="1"/>
    <col min="9418" max="9418" width="10.875" style="1" customWidth="1"/>
    <col min="9419" max="9419" width="8" style="1" customWidth="1"/>
    <col min="9420" max="9421" width="10" style="1" customWidth="1"/>
    <col min="9422" max="9422" width="12.875" style="1" customWidth="1"/>
    <col min="9423" max="9423" width="13.5" style="1" customWidth="1"/>
    <col min="9424" max="9666" width="10" style="1"/>
    <col min="9667" max="9667" width="6.125" style="1" customWidth="1"/>
    <col min="9668" max="9668" width="12.625" style="1" customWidth="1"/>
    <col min="9669" max="9669" width="15.625" style="1" customWidth="1"/>
    <col min="9670" max="9670" width="17.625" style="1" customWidth="1"/>
    <col min="9671" max="9671" width="9.875" style="1" customWidth="1"/>
    <col min="9672" max="9672" width="7.125" style="1" customWidth="1"/>
    <col min="9673" max="9673" width="8.875" style="1" customWidth="1"/>
    <col min="9674" max="9674" width="10.875" style="1" customWidth="1"/>
    <col min="9675" max="9675" width="8" style="1" customWidth="1"/>
    <col min="9676" max="9677" width="10" style="1" customWidth="1"/>
    <col min="9678" max="9678" width="12.875" style="1" customWidth="1"/>
    <col min="9679" max="9679" width="13.5" style="1" customWidth="1"/>
    <col min="9680" max="9922" width="10" style="1"/>
    <col min="9923" max="9923" width="6.125" style="1" customWidth="1"/>
    <col min="9924" max="9924" width="12.625" style="1" customWidth="1"/>
    <col min="9925" max="9925" width="15.625" style="1" customWidth="1"/>
    <col min="9926" max="9926" width="17.625" style="1" customWidth="1"/>
    <col min="9927" max="9927" width="9.875" style="1" customWidth="1"/>
    <col min="9928" max="9928" width="7.125" style="1" customWidth="1"/>
    <col min="9929" max="9929" width="8.875" style="1" customWidth="1"/>
    <col min="9930" max="9930" width="10.875" style="1" customWidth="1"/>
    <col min="9931" max="9931" width="8" style="1" customWidth="1"/>
    <col min="9932" max="9933" width="10" style="1" customWidth="1"/>
    <col min="9934" max="9934" width="12.875" style="1" customWidth="1"/>
    <col min="9935" max="9935" width="13.5" style="1" customWidth="1"/>
    <col min="9936" max="10178" width="10" style="1"/>
    <col min="10179" max="10179" width="6.125" style="1" customWidth="1"/>
    <col min="10180" max="10180" width="12.625" style="1" customWidth="1"/>
    <col min="10181" max="10181" width="15.625" style="1" customWidth="1"/>
    <col min="10182" max="10182" width="17.625" style="1" customWidth="1"/>
    <col min="10183" max="10183" width="9.875" style="1" customWidth="1"/>
    <col min="10184" max="10184" width="7.125" style="1" customWidth="1"/>
    <col min="10185" max="10185" width="8.875" style="1" customWidth="1"/>
    <col min="10186" max="10186" width="10.875" style="1" customWidth="1"/>
    <col min="10187" max="10187" width="8" style="1" customWidth="1"/>
    <col min="10188" max="10189" width="10" style="1" customWidth="1"/>
    <col min="10190" max="10190" width="12.875" style="1" customWidth="1"/>
    <col min="10191" max="10191" width="13.5" style="1" customWidth="1"/>
    <col min="10192" max="10434" width="10" style="1"/>
    <col min="10435" max="10435" width="6.125" style="1" customWidth="1"/>
    <col min="10436" max="10436" width="12.625" style="1" customWidth="1"/>
    <col min="10437" max="10437" width="15.625" style="1" customWidth="1"/>
    <col min="10438" max="10438" width="17.625" style="1" customWidth="1"/>
    <col min="10439" max="10439" width="9.875" style="1" customWidth="1"/>
    <col min="10440" max="10440" width="7.125" style="1" customWidth="1"/>
    <col min="10441" max="10441" width="8.875" style="1" customWidth="1"/>
    <col min="10442" max="10442" width="10.875" style="1" customWidth="1"/>
    <col min="10443" max="10443" width="8" style="1" customWidth="1"/>
    <col min="10444" max="10445" width="10" style="1" customWidth="1"/>
    <col min="10446" max="10446" width="12.875" style="1" customWidth="1"/>
    <col min="10447" max="10447" width="13.5" style="1" customWidth="1"/>
    <col min="10448" max="10690" width="10" style="1"/>
    <col min="10691" max="10691" width="6.125" style="1" customWidth="1"/>
    <col min="10692" max="10692" width="12.625" style="1" customWidth="1"/>
    <col min="10693" max="10693" width="15.625" style="1" customWidth="1"/>
    <col min="10694" max="10694" width="17.625" style="1" customWidth="1"/>
    <col min="10695" max="10695" width="9.875" style="1" customWidth="1"/>
    <col min="10696" max="10696" width="7.125" style="1" customWidth="1"/>
    <col min="10697" max="10697" width="8.875" style="1" customWidth="1"/>
    <col min="10698" max="10698" width="10.875" style="1" customWidth="1"/>
    <col min="10699" max="10699" width="8" style="1" customWidth="1"/>
    <col min="10700" max="10701" width="10" style="1" customWidth="1"/>
    <col min="10702" max="10702" width="12.875" style="1" customWidth="1"/>
    <col min="10703" max="10703" width="13.5" style="1" customWidth="1"/>
    <col min="10704" max="10946" width="10" style="1"/>
    <col min="10947" max="10947" width="6.125" style="1" customWidth="1"/>
    <col min="10948" max="10948" width="12.625" style="1" customWidth="1"/>
    <col min="10949" max="10949" width="15.625" style="1" customWidth="1"/>
    <col min="10950" max="10950" width="17.625" style="1" customWidth="1"/>
    <col min="10951" max="10951" width="9.875" style="1" customWidth="1"/>
    <col min="10952" max="10952" width="7.125" style="1" customWidth="1"/>
    <col min="10953" max="10953" width="8.875" style="1" customWidth="1"/>
    <col min="10954" max="10954" width="10.875" style="1" customWidth="1"/>
    <col min="10955" max="10955" width="8" style="1" customWidth="1"/>
    <col min="10956" max="10957" width="10" style="1" customWidth="1"/>
    <col min="10958" max="10958" width="12.875" style="1" customWidth="1"/>
    <col min="10959" max="10959" width="13.5" style="1" customWidth="1"/>
    <col min="10960" max="11202" width="10" style="1"/>
    <col min="11203" max="11203" width="6.125" style="1" customWidth="1"/>
    <col min="11204" max="11204" width="12.625" style="1" customWidth="1"/>
    <col min="11205" max="11205" width="15.625" style="1" customWidth="1"/>
    <col min="11206" max="11206" width="17.625" style="1" customWidth="1"/>
    <col min="11207" max="11207" width="9.875" style="1" customWidth="1"/>
    <col min="11208" max="11208" width="7.125" style="1" customWidth="1"/>
    <col min="11209" max="11209" width="8.875" style="1" customWidth="1"/>
    <col min="11210" max="11210" width="10.875" style="1" customWidth="1"/>
    <col min="11211" max="11211" width="8" style="1" customWidth="1"/>
    <col min="11212" max="11213" width="10" style="1" customWidth="1"/>
    <col min="11214" max="11214" width="12.875" style="1" customWidth="1"/>
    <col min="11215" max="11215" width="13.5" style="1" customWidth="1"/>
    <col min="11216" max="11458" width="10" style="1"/>
    <col min="11459" max="11459" width="6.125" style="1" customWidth="1"/>
    <col min="11460" max="11460" width="12.625" style="1" customWidth="1"/>
    <col min="11461" max="11461" width="15.625" style="1" customWidth="1"/>
    <col min="11462" max="11462" width="17.625" style="1" customWidth="1"/>
    <col min="11463" max="11463" width="9.875" style="1" customWidth="1"/>
    <col min="11464" max="11464" width="7.125" style="1" customWidth="1"/>
    <col min="11465" max="11465" width="8.875" style="1" customWidth="1"/>
    <col min="11466" max="11466" width="10.875" style="1" customWidth="1"/>
    <col min="11467" max="11467" width="8" style="1" customWidth="1"/>
    <col min="11468" max="11469" width="10" style="1" customWidth="1"/>
    <col min="11470" max="11470" width="12.875" style="1" customWidth="1"/>
    <col min="11471" max="11471" width="13.5" style="1" customWidth="1"/>
    <col min="11472" max="11714" width="10" style="1"/>
    <col min="11715" max="11715" width="6.125" style="1" customWidth="1"/>
    <col min="11716" max="11716" width="12.625" style="1" customWidth="1"/>
    <col min="11717" max="11717" width="15.625" style="1" customWidth="1"/>
    <col min="11718" max="11718" width="17.625" style="1" customWidth="1"/>
    <col min="11719" max="11719" width="9.875" style="1" customWidth="1"/>
    <col min="11720" max="11720" width="7.125" style="1" customWidth="1"/>
    <col min="11721" max="11721" width="8.875" style="1" customWidth="1"/>
    <col min="11722" max="11722" width="10.875" style="1" customWidth="1"/>
    <col min="11723" max="11723" width="8" style="1" customWidth="1"/>
    <col min="11724" max="11725" width="10" style="1" customWidth="1"/>
    <col min="11726" max="11726" width="12.875" style="1" customWidth="1"/>
    <col min="11727" max="11727" width="13.5" style="1" customWidth="1"/>
    <col min="11728" max="11970" width="10" style="1"/>
    <col min="11971" max="11971" width="6.125" style="1" customWidth="1"/>
    <col min="11972" max="11972" width="12.625" style="1" customWidth="1"/>
    <col min="11973" max="11973" width="15.625" style="1" customWidth="1"/>
    <col min="11974" max="11974" width="17.625" style="1" customWidth="1"/>
    <col min="11975" max="11975" width="9.875" style="1" customWidth="1"/>
    <col min="11976" max="11976" width="7.125" style="1" customWidth="1"/>
    <col min="11977" max="11977" width="8.875" style="1" customWidth="1"/>
    <col min="11978" max="11978" width="10.875" style="1" customWidth="1"/>
    <col min="11979" max="11979" width="8" style="1" customWidth="1"/>
    <col min="11980" max="11981" width="10" style="1" customWidth="1"/>
    <col min="11982" max="11982" width="12.875" style="1" customWidth="1"/>
    <col min="11983" max="11983" width="13.5" style="1" customWidth="1"/>
    <col min="11984" max="12226" width="10" style="1"/>
    <col min="12227" max="12227" width="6.125" style="1" customWidth="1"/>
    <col min="12228" max="12228" width="12.625" style="1" customWidth="1"/>
    <col min="12229" max="12229" width="15.625" style="1" customWidth="1"/>
    <col min="12230" max="12230" width="17.625" style="1" customWidth="1"/>
    <col min="12231" max="12231" width="9.875" style="1" customWidth="1"/>
    <col min="12232" max="12232" width="7.125" style="1" customWidth="1"/>
    <col min="12233" max="12233" width="8.875" style="1" customWidth="1"/>
    <col min="12234" max="12234" width="10.875" style="1" customWidth="1"/>
    <col min="12235" max="12235" width="8" style="1" customWidth="1"/>
    <col min="12236" max="12237" width="10" style="1" customWidth="1"/>
    <col min="12238" max="12238" width="12.875" style="1" customWidth="1"/>
    <col min="12239" max="12239" width="13.5" style="1" customWidth="1"/>
    <col min="12240" max="12482" width="10" style="1"/>
    <col min="12483" max="12483" width="6.125" style="1" customWidth="1"/>
    <col min="12484" max="12484" width="12.625" style="1" customWidth="1"/>
    <col min="12485" max="12485" width="15.625" style="1" customWidth="1"/>
    <col min="12486" max="12486" width="17.625" style="1" customWidth="1"/>
    <col min="12487" max="12487" width="9.875" style="1" customWidth="1"/>
    <col min="12488" max="12488" width="7.125" style="1" customWidth="1"/>
    <col min="12489" max="12489" width="8.875" style="1" customWidth="1"/>
    <col min="12490" max="12490" width="10.875" style="1" customWidth="1"/>
    <col min="12491" max="12491" width="8" style="1" customWidth="1"/>
    <col min="12492" max="12493" width="10" style="1" customWidth="1"/>
    <col min="12494" max="12494" width="12.875" style="1" customWidth="1"/>
    <col min="12495" max="12495" width="13.5" style="1" customWidth="1"/>
    <col min="12496" max="12738" width="10" style="1"/>
    <col min="12739" max="12739" width="6.125" style="1" customWidth="1"/>
    <col min="12740" max="12740" width="12.625" style="1" customWidth="1"/>
    <col min="12741" max="12741" width="15.625" style="1" customWidth="1"/>
    <col min="12742" max="12742" width="17.625" style="1" customWidth="1"/>
    <col min="12743" max="12743" width="9.875" style="1" customWidth="1"/>
    <col min="12744" max="12744" width="7.125" style="1" customWidth="1"/>
    <col min="12745" max="12745" width="8.875" style="1" customWidth="1"/>
    <col min="12746" max="12746" width="10.875" style="1" customWidth="1"/>
    <col min="12747" max="12747" width="8" style="1" customWidth="1"/>
    <col min="12748" max="12749" width="10" style="1" customWidth="1"/>
    <col min="12750" max="12750" width="12.875" style="1" customWidth="1"/>
    <col min="12751" max="12751" width="13.5" style="1" customWidth="1"/>
    <col min="12752" max="12994" width="10" style="1"/>
    <col min="12995" max="12995" width="6.125" style="1" customWidth="1"/>
    <col min="12996" max="12996" width="12.625" style="1" customWidth="1"/>
    <col min="12997" max="12997" width="15.625" style="1" customWidth="1"/>
    <col min="12998" max="12998" width="17.625" style="1" customWidth="1"/>
    <col min="12999" max="12999" width="9.875" style="1" customWidth="1"/>
    <col min="13000" max="13000" width="7.125" style="1" customWidth="1"/>
    <col min="13001" max="13001" width="8.875" style="1" customWidth="1"/>
    <col min="13002" max="13002" width="10.875" style="1" customWidth="1"/>
    <col min="13003" max="13003" width="8" style="1" customWidth="1"/>
    <col min="13004" max="13005" width="10" style="1" customWidth="1"/>
    <col min="13006" max="13006" width="12.875" style="1" customWidth="1"/>
    <col min="13007" max="13007" width="13.5" style="1" customWidth="1"/>
    <col min="13008" max="13250" width="10" style="1"/>
    <col min="13251" max="13251" width="6.125" style="1" customWidth="1"/>
    <col min="13252" max="13252" width="12.625" style="1" customWidth="1"/>
    <col min="13253" max="13253" width="15.625" style="1" customWidth="1"/>
    <col min="13254" max="13254" width="17.625" style="1" customWidth="1"/>
    <col min="13255" max="13255" width="9.875" style="1" customWidth="1"/>
    <col min="13256" max="13256" width="7.125" style="1" customWidth="1"/>
    <col min="13257" max="13257" width="8.875" style="1" customWidth="1"/>
    <col min="13258" max="13258" width="10.875" style="1" customWidth="1"/>
    <col min="13259" max="13259" width="8" style="1" customWidth="1"/>
    <col min="13260" max="13261" width="10" style="1" customWidth="1"/>
    <col min="13262" max="13262" width="12.875" style="1" customWidth="1"/>
    <col min="13263" max="13263" width="13.5" style="1" customWidth="1"/>
    <col min="13264" max="13506" width="10" style="1"/>
    <col min="13507" max="13507" width="6.125" style="1" customWidth="1"/>
    <col min="13508" max="13508" width="12.625" style="1" customWidth="1"/>
    <col min="13509" max="13509" width="15.625" style="1" customWidth="1"/>
    <col min="13510" max="13510" width="17.625" style="1" customWidth="1"/>
    <col min="13511" max="13511" width="9.875" style="1" customWidth="1"/>
    <col min="13512" max="13512" width="7.125" style="1" customWidth="1"/>
    <col min="13513" max="13513" width="8.875" style="1" customWidth="1"/>
    <col min="13514" max="13514" width="10.875" style="1" customWidth="1"/>
    <col min="13515" max="13515" width="8" style="1" customWidth="1"/>
    <col min="13516" max="13517" width="10" style="1" customWidth="1"/>
    <col min="13518" max="13518" width="12.875" style="1" customWidth="1"/>
    <col min="13519" max="13519" width="13.5" style="1" customWidth="1"/>
    <col min="13520" max="13762" width="10" style="1"/>
    <col min="13763" max="13763" width="6.125" style="1" customWidth="1"/>
    <col min="13764" max="13764" width="12.625" style="1" customWidth="1"/>
    <col min="13765" max="13765" width="15.625" style="1" customWidth="1"/>
    <col min="13766" max="13766" width="17.625" style="1" customWidth="1"/>
    <col min="13767" max="13767" width="9.875" style="1" customWidth="1"/>
    <col min="13768" max="13768" width="7.125" style="1" customWidth="1"/>
    <col min="13769" max="13769" width="8.875" style="1" customWidth="1"/>
    <col min="13770" max="13770" width="10.875" style="1" customWidth="1"/>
    <col min="13771" max="13771" width="8" style="1" customWidth="1"/>
    <col min="13772" max="13773" width="10" style="1" customWidth="1"/>
    <col min="13774" max="13774" width="12.875" style="1" customWidth="1"/>
    <col min="13775" max="13775" width="13.5" style="1" customWidth="1"/>
    <col min="13776" max="14018" width="10" style="1"/>
    <col min="14019" max="14019" width="6.125" style="1" customWidth="1"/>
    <col min="14020" max="14020" width="12.625" style="1" customWidth="1"/>
    <col min="14021" max="14021" width="15.625" style="1" customWidth="1"/>
    <col min="14022" max="14022" width="17.625" style="1" customWidth="1"/>
    <col min="14023" max="14023" width="9.875" style="1" customWidth="1"/>
    <col min="14024" max="14024" width="7.125" style="1" customWidth="1"/>
    <col min="14025" max="14025" width="8.875" style="1" customWidth="1"/>
    <col min="14026" max="14026" width="10.875" style="1" customWidth="1"/>
    <col min="14027" max="14027" width="8" style="1" customWidth="1"/>
    <col min="14028" max="14029" width="10" style="1" customWidth="1"/>
    <col min="14030" max="14030" width="12.875" style="1" customWidth="1"/>
    <col min="14031" max="14031" width="13.5" style="1" customWidth="1"/>
    <col min="14032" max="14274" width="10" style="1"/>
    <col min="14275" max="14275" width="6.125" style="1" customWidth="1"/>
    <col min="14276" max="14276" width="12.625" style="1" customWidth="1"/>
    <col min="14277" max="14277" width="15.625" style="1" customWidth="1"/>
    <col min="14278" max="14278" width="17.625" style="1" customWidth="1"/>
    <col min="14279" max="14279" width="9.875" style="1" customWidth="1"/>
    <col min="14280" max="14280" width="7.125" style="1" customWidth="1"/>
    <col min="14281" max="14281" width="8.875" style="1" customWidth="1"/>
    <col min="14282" max="14282" width="10.875" style="1" customWidth="1"/>
    <col min="14283" max="14283" width="8" style="1" customWidth="1"/>
    <col min="14284" max="14285" width="10" style="1" customWidth="1"/>
    <col min="14286" max="14286" width="12.875" style="1" customWidth="1"/>
    <col min="14287" max="14287" width="13.5" style="1" customWidth="1"/>
    <col min="14288" max="14530" width="10" style="1"/>
    <col min="14531" max="14531" width="6.125" style="1" customWidth="1"/>
    <col min="14532" max="14532" width="12.625" style="1" customWidth="1"/>
    <col min="14533" max="14533" width="15.625" style="1" customWidth="1"/>
    <col min="14534" max="14534" width="17.625" style="1" customWidth="1"/>
    <col min="14535" max="14535" width="9.875" style="1" customWidth="1"/>
    <col min="14536" max="14536" width="7.125" style="1" customWidth="1"/>
    <col min="14537" max="14537" width="8.875" style="1" customWidth="1"/>
    <col min="14538" max="14538" width="10.875" style="1" customWidth="1"/>
    <col min="14539" max="14539" width="8" style="1" customWidth="1"/>
    <col min="14540" max="14541" width="10" style="1" customWidth="1"/>
    <col min="14542" max="14542" width="12.875" style="1" customWidth="1"/>
    <col min="14543" max="14543" width="13.5" style="1" customWidth="1"/>
    <col min="14544" max="14786" width="10" style="1"/>
    <col min="14787" max="14787" width="6.125" style="1" customWidth="1"/>
    <col min="14788" max="14788" width="12.625" style="1" customWidth="1"/>
    <col min="14789" max="14789" width="15.625" style="1" customWidth="1"/>
    <col min="14790" max="14790" width="17.625" style="1" customWidth="1"/>
    <col min="14791" max="14791" width="9.875" style="1" customWidth="1"/>
    <col min="14792" max="14792" width="7.125" style="1" customWidth="1"/>
    <col min="14793" max="14793" width="8.875" style="1" customWidth="1"/>
    <col min="14794" max="14794" width="10.875" style="1" customWidth="1"/>
    <col min="14795" max="14795" width="8" style="1" customWidth="1"/>
    <col min="14796" max="14797" width="10" style="1" customWidth="1"/>
    <col min="14798" max="14798" width="12.875" style="1" customWidth="1"/>
    <col min="14799" max="14799" width="13.5" style="1" customWidth="1"/>
    <col min="14800" max="15042" width="10" style="1"/>
    <col min="15043" max="15043" width="6.125" style="1" customWidth="1"/>
    <col min="15044" max="15044" width="12.625" style="1" customWidth="1"/>
    <col min="15045" max="15045" width="15.625" style="1" customWidth="1"/>
    <col min="15046" max="15046" width="17.625" style="1" customWidth="1"/>
    <col min="15047" max="15047" width="9.875" style="1" customWidth="1"/>
    <col min="15048" max="15048" width="7.125" style="1" customWidth="1"/>
    <col min="15049" max="15049" width="8.875" style="1" customWidth="1"/>
    <col min="15050" max="15050" width="10.875" style="1" customWidth="1"/>
    <col min="15051" max="15051" width="8" style="1" customWidth="1"/>
    <col min="15052" max="15053" width="10" style="1" customWidth="1"/>
    <col min="15054" max="15054" width="12.875" style="1" customWidth="1"/>
    <col min="15055" max="15055" width="13.5" style="1" customWidth="1"/>
    <col min="15056" max="15298" width="10" style="1"/>
    <col min="15299" max="15299" width="6.125" style="1" customWidth="1"/>
    <col min="15300" max="15300" width="12.625" style="1" customWidth="1"/>
    <col min="15301" max="15301" width="15.625" style="1" customWidth="1"/>
    <col min="15302" max="15302" width="17.625" style="1" customWidth="1"/>
    <col min="15303" max="15303" width="9.875" style="1" customWidth="1"/>
    <col min="15304" max="15304" width="7.125" style="1" customWidth="1"/>
    <col min="15305" max="15305" width="8.875" style="1" customWidth="1"/>
    <col min="15306" max="15306" width="10.875" style="1" customWidth="1"/>
    <col min="15307" max="15307" width="8" style="1" customWidth="1"/>
    <col min="15308" max="15309" width="10" style="1" customWidth="1"/>
    <col min="15310" max="15310" width="12.875" style="1" customWidth="1"/>
    <col min="15311" max="15311" width="13.5" style="1" customWidth="1"/>
    <col min="15312" max="15554" width="10" style="1"/>
    <col min="15555" max="15555" width="6.125" style="1" customWidth="1"/>
    <col min="15556" max="15556" width="12.625" style="1" customWidth="1"/>
    <col min="15557" max="15557" width="15.625" style="1" customWidth="1"/>
    <col min="15558" max="15558" width="17.625" style="1" customWidth="1"/>
    <col min="15559" max="15559" width="9.875" style="1" customWidth="1"/>
    <col min="15560" max="15560" width="7.125" style="1" customWidth="1"/>
    <col min="15561" max="15561" width="8.875" style="1" customWidth="1"/>
    <col min="15562" max="15562" width="10.875" style="1" customWidth="1"/>
    <col min="15563" max="15563" width="8" style="1" customWidth="1"/>
    <col min="15564" max="15565" width="10" style="1" customWidth="1"/>
    <col min="15566" max="15566" width="12.875" style="1" customWidth="1"/>
    <col min="15567" max="15567" width="13.5" style="1" customWidth="1"/>
    <col min="15568" max="15810" width="10" style="1"/>
    <col min="15811" max="15811" width="6.125" style="1" customWidth="1"/>
    <col min="15812" max="15812" width="12.625" style="1" customWidth="1"/>
    <col min="15813" max="15813" width="15.625" style="1" customWidth="1"/>
    <col min="15814" max="15814" width="17.625" style="1" customWidth="1"/>
    <col min="15815" max="15815" width="9.875" style="1" customWidth="1"/>
    <col min="15816" max="15816" width="7.125" style="1" customWidth="1"/>
    <col min="15817" max="15817" width="8.875" style="1" customWidth="1"/>
    <col min="15818" max="15818" width="10.875" style="1" customWidth="1"/>
    <col min="15819" max="15819" width="8" style="1" customWidth="1"/>
    <col min="15820" max="15821" width="10" style="1" customWidth="1"/>
    <col min="15822" max="15822" width="12.875" style="1" customWidth="1"/>
    <col min="15823" max="15823" width="13.5" style="1" customWidth="1"/>
    <col min="15824" max="16066" width="10" style="1"/>
    <col min="16067" max="16067" width="6.125" style="1" customWidth="1"/>
    <col min="16068" max="16068" width="12.625" style="1" customWidth="1"/>
    <col min="16069" max="16069" width="15.625" style="1" customWidth="1"/>
    <col min="16070" max="16070" width="17.625" style="1" customWidth="1"/>
    <col min="16071" max="16071" width="9.875" style="1" customWidth="1"/>
    <col min="16072" max="16072" width="7.125" style="1" customWidth="1"/>
    <col min="16073" max="16073" width="8.875" style="1" customWidth="1"/>
    <col min="16074" max="16074" width="10.875" style="1" customWidth="1"/>
    <col min="16075" max="16075" width="8" style="1" customWidth="1"/>
    <col min="16076" max="16077" width="10" style="1" customWidth="1"/>
    <col min="16078" max="16078" width="12.875" style="1" customWidth="1"/>
    <col min="16079" max="16079" width="13.5" style="1" customWidth="1"/>
    <col min="16080" max="16384" width="10" style="1"/>
  </cols>
  <sheetData>
    <row r="1" spans="1:38" s="2" customFormat="1" ht="30" x14ac:dyDescent="0.45">
      <c r="A1" s="14" t="s">
        <v>9</v>
      </c>
      <c r="B1" s="14"/>
      <c r="C1" s="14"/>
      <c r="D1" s="14"/>
      <c r="E1" s="14"/>
      <c r="F1" s="10"/>
      <c r="G1" s="10"/>
      <c r="H1" s="10"/>
      <c r="I1" s="14"/>
    </row>
    <row r="2" spans="1:38" s="3" customFormat="1" x14ac:dyDescent="0.25">
      <c r="A2" s="50" t="s">
        <v>539</v>
      </c>
      <c r="B2" s="50"/>
      <c r="C2" s="50"/>
      <c r="D2" s="7" t="s">
        <v>538</v>
      </c>
      <c r="E2" s="1"/>
      <c r="F2" s="51" t="s">
        <v>10</v>
      </c>
      <c r="G2" s="51"/>
      <c r="H2" s="51"/>
      <c r="I2" s="51"/>
      <c r="J2" s="51"/>
      <c r="K2" s="51"/>
      <c r="L2" s="51"/>
      <c r="M2" s="51"/>
      <c r="N2" s="51"/>
      <c r="O2" s="51"/>
    </row>
    <row r="3" spans="1:38" s="4" customFormat="1" ht="31.5" x14ac:dyDescent="0.25">
      <c r="A3" s="22" t="s">
        <v>0</v>
      </c>
      <c r="B3" s="23" t="s">
        <v>3</v>
      </c>
      <c r="C3" s="24" t="s">
        <v>4</v>
      </c>
      <c r="D3" s="25" t="s">
        <v>1</v>
      </c>
      <c r="E3" s="26" t="s">
        <v>2</v>
      </c>
      <c r="F3" s="27" t="s">
        <v>537</v>
      </c>
      <c r="G3" s="12" t="s">
        <v>8</v>
      </c>
      <c r="H3" s="15" t="s">
        <v>11</v>
      </c>
      <c r="I3" s="15" t="s">
        <v>536</v>
      </c>
      <c r="J3" s="15" t="s">
        <v>559</v>
      </c>
      <c r="K3" s="15" t="s">
        <v>573</v>
      </c>
      <c r="L3" s="15" t="s">
        <v>577</v>
      </c>
      <c r="M3" s="15" t="s">
        <v>579</v>
      </c>
      <c r="N3" s="15" t="s">
        <v>587</v>
      </c>
      <c r="O3" s="15" t="s">
        <v>12</v>
      </c>
      <c r="P3" s="19" t="s">
        <v>13</v>
      </c>
      <c r="Q3" s="20" t="s">
        <v>14</v>
      </c>
      <c r="R3" s="15" t="s">
        <v>547</v>
      </c>
      <c r="S3" s="15" t="s">
        <v>548</v>
      </c>
      <c r="T3" s="15" t="s">
        <v>549</v>
      </c>
      <c r="U3" s="15" t="s">
        <v>550</v>
      </c>
      <c r="V3" s="15" t="s">
        <v>551</v>
      </c>
      <c r="W3" s="15" t="s">
        <v>552</v>
      </c>
      <c r="X3" s="15" t="s">
        <v>553</v>
      </c>
      <c r="Y3" s="15" t="s">
        <v>555</v>
      </c>
      <c r="Z3" s="15" t="s">
        <v>556</v>
      </c>
      <c r="AA3" s="15" t="s">
        <v>557</v>
      </c>
      <c r="AB3" s="15" t="s">
        <v>558</v>
      </c>
      <c r="AC3" s="15" t="s">
        <v>569</v>
      </c>
      <c r="AD3" s="15" t="s">
        <v>570</v>
      </c>
      <c r="AE3" s="15" t="s">
        <v>572</v>
      </c>
      <c r="AF3" s="15" t="s">
        <v>576</v>
      </c>
      <c r="AG3" s="15" t="s">
        <v>574</v>
      </c>
      <c r="AH3" s="15" t="s">
        <v>575</v>
      </c>
      <c r="AI3" s="15" t="s">
        <v>578</v>
      </c>
      <c r="AJ3" s="15" t="s">
        <v>585</v>
      </c>
      <c r="AK3" s="15" t="s">
        <v>586</v>
      </c>
      <c r="AL3" s="15" t="s">
        <v>588</v>
      </c>
    </row>
    <row r="4" spans="1:38" s="3" customFormat="1" x14ac:dyDescent="0.25">
      <c r="A4" s="21">
        <v>3.3</v>
      </c>
      <c r="B4" s="28" t="s">
        <v>15</v>
      </c>
      <c r="C4" s="29"/>
      <c r="D4" s="30"/>
      <c r="E4" s="31"/>
      <c r="F4" s="32"/>
      <c r="G4" s="11"/>
      <c r="H4" s="11"/>
      <c r="I4" s="13"/>
      <c r="O4" s="16">
        <f t="shared" ref="O4:O67" si="0">SUM(I4:N4)</f>
        <v>0</v>
      </c>
      <c r="P4" s="17">
        <f>+Q4-O4</f>
        <v>0</v>
      </c>
      <c r="Q4" s="18">
        <f>SUM(R4:R4)</f>
        <v>0</v>
      </c>
    </row>
    <row r="5" spans="1:38" s="3" customFormat="1" x14ac:dyDescent="0.25">
      <c r="A5" s="21" t="s">
        <v>16</v>
      </c>
      <c r="B5" s="33" t="s">
        <v>17</v>
      </c>
      <c r="C5" s="34" t="s">
        <v>18</v>
      </c>
      <c r="D5" s="35" t="s">
        <v>19</v>
      </c>
      <c r="E5" s="31" t="s">
        <v>540</v>
      </c>
      <c r="F5" s="32">
        <v>11</v>
      </c>
      <c r="G5" s="11">
        <v>11</v>
      </c>
      <c r="H5" s="11">
        <v>1</v>
      </c>
      <c r="I5" s="13">
        <f>+G5-H5</f>
        <v>10</v>
      </c>
      <c r="O5" s="16">
        <f t="shared" si="0"/>
        <v>10</v>
      </c>
      <c r="P5" s="17">
        <f t="shared" ref="P5:P68" si="1">+Q5-O5</f>
        <v>0</v>
      </c>
      <c r="Q5" s="18">
        <f t="shared" ref="Q5:Q68" si="2">SUM(R5:EF5)</f>
        <v>10</v>
      </c>
      <c r="U5" s="48">
        <v>10</v>
      </c>
    </row>
    <row r="6" spans="1:38" s="3" customFormat="1" x14ac:dyDescent="0.25">
      <c r="A6" s="21" t="s">
        <v>20</v>
      </c>
      <c r="B6" s="33" t="s">
        <v>21</v>
      </c>
      <c r="C6" s="34" t="s">
        <v>18</v>
      </c>
      <c r="D6" s="35" t="s">
        <v>19</v>
      </c>
      <c r="E6" s="31" t="s">
        <v>540</v>
      </c>
      <c r="F6" s="32">
        <v>8</v>
      </c>
      <c r="G6" s="11">
        <v>8</v>
      </c>
      <c r="H6" s="11"/>
      <c r="I6" s="13">
        <f t="shared" ref="I6:I69" si="3">+G6-H6</f>
        <v>8</v>
      </c>
      <c r="O6" s="16">
        <f t="shared" si="0"/>
        <v>8</v>
      </c>
      <c r="P6" s="17">
        <f t="shared" si="1"/>
        <v>0</v>
      </c>
      <c r="Q6" s="18">
        <f t="shared" si="2"/>
        <v>8</v>
      </c>
      <c r="U6" s="48">
        <v>8</v>
      </c>
    </row>
    <row r="7" spans="1:38" s="3" customFormat="1" x14ac:dyDescent="0.25">
      <c r="A7" s="21" t="s">
        <v>22</v>
      </c>
      <c r="B7" s="33" t="s">
        <v>23</v>
      </c>
      <c r="C7" s="34" t="s">
        <v>18</v>
      </c>
      <c r="D7" s="35" t="s">
        <v>19</v>
      </c>
      <c r="E7" s="31" t="s">
        <v>540</v>
      </c>
      <c r="F7" s="32">
        <v>3</v>
      </c>
      <c r="G7" s="11">
        <v>4</v>
      </c>
      <c r="H7" s="11"/>
      <c r="I7" s="13">
        <f t="shared" si="3"/>
        <v>4</v>
      </c>
      <c r="J7" s="3">
        <v>3</v>
      </c>
      <c r="O7" s="16">
        <f t="shared" si="0"/>
        <v>7</v>
      </c>
      <c r="P7" s="17">
        <f t="shared" si="1"/>
        <v>0</v>
      </c>
      <c r="Q7" s="18">
        <f t="shared" si="2"/>
        <v>7</v>
      </c>
      <c r="U7" s="48">
        <v>4</v>
      </c>
      <c r="AC7" s="49">
        <v>3</v>
      </c>
    </row>
    <row r="8" spans="1:38" s="3" customFormat="1" x14ac:dyDescent="0.25">
      <c r="A8" s="21" t="s">
        <v>24</v>
      </c>
      <c r="B8" s="33" t="s">
        <v>25</v>
      </c>
      <c r="C8" s="34" t="s">
        <v>18</v>
      </c>
      <c r="D8" s="35" t="s">
        <v>19</v>
      </c>
      <c r="E8" s="31" t="s">
        <v>540</v>
      </c>
      <c r="F8" s="32">
        <v>55</v>
      </c>
      <c r="G8" s="11">
        <v>55</v>
      </c>
      <c r="H8" s="11">
        <v>46</v>
      </c>
      <c r="I8" s="13">
        <f t="shared" si="3"/>
        <v>9</v>
      </c>
      <c r="J8" s="3">
        <v>1</v>
      </c>
      <c r="L8" s="3">
        <v>1</v>
      </c>
      <c r="O8" s="16">
        <f t="shared" si="0"/>
        <v>11</v>
      </c>
      <c r="P8" s="17">
        <f t="shared" si="1"/>
        <v>0</v>
      </c>
      <c r="Q8" s="18">
        <f t="shared" si="2"/>
        <v>11</v>
      </c>
      <c r="U8" s="48">
        <v>9</v>
      </c>
      <c r="AC8" s="49">
        <v>1</v>
      </c>
      <c r="AI8" s="49">
        <v>1</v>
      </c>
    </row>
    <row r="9" spans="1:38" s="3" customFormat="1" x14ac:dyDescent="0.25">
      <c r="A9" s="21" t="s">
        <v>26</v>
      </c>
      <c r="B9" s="33" t="s">
        <v>27</v>
      </c>
      <c r="C9" s="34" t="s">
        <v>18</v>
      </c>
      <c r="D9" s="35" t="s">
        <v>19</v>
      </c>
      <c r="E9" s="31" t="s">
        <v>540</v>
      </c>
      <c r="F9" s="32">
        <v>23</v>
      </c>
      <c r="G9" s="11">
        <v>23</v>
      </c>
      <c r="H9" s="11"/>
      <c r="I9" s="13">
        <f t="shared" si="3"/>
        <v>23</v>
      </c>
      <c r="O9" s="16">
        <f t="shared" si="0"/>
        <v>23</v>
      </c>
      <c r="P9" s="17">
        <f t="shared" si="1"/>
        <v>0</v>
      </c>
      <c r="Q9" s="18">
        <f t="shared" si="2"/>
        <v>23</v>
      </c>
      <c r="U9" s="48">
        <v>23</v>
      </c>
    </row>
    <row r="10" spans="1:38" s="3" customFormat="1" x14ac:dyDescent="0.25">
      <c r="A10" s="21" t="s">
        <v>28</v>
      </c>
      <c r="B10" s="33" t="s">
        <v>29</v>
      </c>
      <c r="C10" s="34" t="s">
        <v>18</v>
      </c>
      <c r="D10" s="35" t="s">
        <v>19</v>
      </c>
      <c r="E10" s="31" t="s">
        <v>540</v>
      </c>
      <c r="F10" s="32">
        <v>1</v>
      </c>
      <c r="G10" s="11">
        <v>1</v>
      </c>
      <c r="H10" s="11">
        <v>1</v>
      </c>
      <c r="I10" s="13">
        <f t="shared" si="3"/>
        <v>0</v>
      </c>
      <c r="O10" s="16">
        <f t="shared" si="0"/>
        <v>0</v>
      </c>
      <c r="P10" s="17">
        <f t="shared" si="1"/>
        <v>0</v>
      </c>
      <c r="Q10" s="18">
        <f t="shared" si="2"/>
        <v>0</v>
      </c>
    </row>
    <row r="11" spans="1:38" s="3" customFormat="1" x14ac:dyDescent="0.25">
      <c r="A11" s="21" t="s">
        <v>30</v>
      </c>
      <c r="B11" s="33" t="s">
        <v>31</v>
      </c>
      <c r="C11" s="34" t="s">
        <v>18</v>
      </c>
      <c r="D11" s="35" t="s">
        <v>19</v>
      </c>
      <c r="E11" s="31" t="s">
        <v>541</v>
      </c>
      <c r="F11" s="32">
        <v>1</v>
      </c>
      <c r="G11" s="11">
        <v>1</v>
      </c>
      <c r="H11" s="11"/>
      <c r="I11" s="13">
        <f t="shared" si="3"/>
        <v>1</v>
      </c>
      <c r="O11" s="16">
        <f t="shared" si="0"/>
        <v>1</v>
      </c>
      <c r="P11" s="17">
        <f t="shared" si="1"/>
        <v>0</v>
      </c>
      <c r="Q11" s="18">
        <f t="shared" si="2"/>
        <v>1</v>
      </c>
      <c r="U11" s="48">
        <v>1</v>
      </c>
    </row>
    <row r="12" spans="1:38" s="3" customFormat="1" x14ac:dyDescent="0.25">
      <c r="A12" s="21" t="s">
        <v>32</v>
      </c>
      <c r="B12" s="33" t="s">
        <v>33</v>
      </c>
      <c r="C12" s="34" t="s">
        <v>18</v>
      </c>
      <c r="D12" s="35" t="s">
        <v>19</v>
      </c>
      <c r="E12" s="31" t="s">
        <v>541</v>
      </c>
      <c r="F12" s="32">
        <v>2</v>
      </c>
      <c r="G12" s="11">
        <v>2</v>
      </c>
      <c r="H12" s="11"/>
      <c r="I12" s="13">
        <f t="shared" si="3"/>
        <v>2</v>
      </c>
      <c r="O12" s="16">
        <f t="shared" si="0"/>
        <v>2</v>
      </c>
      <c r="P12" s="17">
        <f t="shared" si="1"/>
        <v>0</v>
      </c>
      <c r="Q12" s="18">
        <f t="shared" si="2"/>
        <v>2</v>
      </c>
      <c r="U12" s="48">
        <v>2</v>
      </c>
    </row>
    <row r="13" spans="1:38" s="3" customFormat="1" x14ac:dyDescent="0.25">
      <c r="A13" s="21" t="s">
        <v>34</v>
      </c>
      <c r="B13" s="33" t="s">
        <v>35</v>
      </c>
      <c r="C13" s="34" t="s">
        <v>18</v>
      </c>
      <c r="D13" s="35" t="s">
        <v>19</v>
      </c>
      <c r="E13" s="31" t="s">
        <v>541</v>
      </c>
      <c r="F13" s="32">
        <v>17</v>
      </c>
      <c r="G13" s="11">
        <v>17</v>
      </c>
      <c r="H13" s="11"/>
      <c r="I13" s="13">
        <f t="shared" si="3"/>
        <v>17</v>
      </c>
      <c r="K13" s="3">
        <v>2</v>
      </c>
      <c r="O13" s="16">
        <f t="shared" si="0"/>
        <v>19</v>
      </c>
      <c r="P13" s="17">
        <f t="shared" si="1"/>
        <v>0</v>
      </c>
      <c r="Q13" s="18">
        <f t="shared" si="2"/>
        <v>19</v>
      </c>
      <c r="U13" s="48">
        <v>17</v>
      </c>
      <c r="AG13" s="3">
        <v>2</v>
      </c>
    </row>
    <row r="14" spans="1:38" s="3" customFormat="1" x14ac:dyDescent="0.25">
      <c r="A14" s="21" t="s">
        <v>36</v>
      </c>
      <c r="B14" s="33" t="s">
        <v>37</v>
      </c>
      <c r="C14" s="34" t="s">
        <v>18</v>
      </c>
      <c r="D14" s="35" t="s">
        <v>19</v>
      </c>
      <c r="E14" s="31" t="s">
        <v>541</v>
      </c>
      <c r="F14" s="32">
        <v>7</v>
      </c>
      <c r="G14" s="11">
        <v>7</v>
      </c>
      <c r="H14" s="11"/>
      <c r="I14" s="13">
        <f t="shared" si="3"/>
        <v>7</v>
      </c>
      <c r="O14" s="16">
        <f t="shared" si="0"/>
        <v>7</v>
      </c>
      <c r="P14" s="17">
        <f t="shared" si="1"/>
        <v>0</v>
      </c>
      <c r="Q14" s="18">
        <f t="shared" si="2"/>
        <v>7</v>
      </c>
      <c r="U14" s="48">
        <v>7</v>
      </c>
    </row>
    <row r="15" spans="1:38" s="3" customFormat="1" x14ac:dyDescent="0.25">
      <c r="A15" s="21" t="s">
        <v>38</v>
      </c>
      <c r="B15" s="33" t="s">
        <v>39</v>
      </c>
      <c r="C15" s="34" t="s">
        <v>18</v>
      </c>
      <c r="D15" s="35" t="s">
        <v>19</v>
      </c>
      <c r="E15" s="31" t="s">
        <v>541</v>
      </c>
      <c r="F15" s="32">
        <v>39</v>
      </c>
      <c r="G15" s="11">
        <v>39</v>
      </c>
      <c r="H15" s="11"/>
      <c r="I15" s="13">
        <f t="shared" si="3"/>
        <v>39</v>
      </c>
      <c r="O15" s="16">
        <f t="shared" si="0"/>
        <v>39</v>
      </c>
      <c r="P15" s="17">
        <f t="shared" si="1"/>
        <v>0</v>
      </c>
      <c r="Q15" s="18">
        <f t="shared" si="2"/>
        <v>39</v>
      </c>
      <c r="U15" s="48">
        <v>39</v>
      </c>
    </row>
    <row r="16" spans="1:38" s="3" customFormat="1" x14ac:dyDescent="0.25">
      <c r="A16" s="21" t="s">
        <v>40</v>
      </c>
      <c r="B16" s="33" t="s">
        <v>41</v>
      </c>
      <c r="C16" s="34" t="s">
        <v>18</v>
      </c>
      <c r="D16" s="35" t="s">
        <v>19</v>
      </c>
      <c r="E16" s="31" t="s">
        <v>541</v>
      </c>
      <c r="F16" s="32">
        <v>2</v>
      </c>
      <c r="G16" s="11">
        <v>2</v>
      </c>
      <c r="H16" s="11"/>
      <c r="I16" s="13">
        <f t="shared" si="3"/>
        <v>2</v>
      </c>
      <c r="O16" s="16">
        <f t="shared" si="0"/>
        <v>2</v>
      </c>
      <c r="P16" s="17">
        <f t="shared" si="1"/>
        <v>0</v>
      </c>
      <c r="Q16" s="18">
        <f t="shared" si="2"/>
        <v>2</v>
      </c>
      <c r="U16" s="48">
        <v>2</v>
      </c>
    </row>
    <row r="17" spans="1:38" s="3" customFormat="1" x14ac:dyDescent="0.25">
      <c r="A17" s="21" t="s">
        <v>42</v>
      </c>
      <c r="B17" s="33" t="s">
        <v>43</v>
      </c>
      <c r="C17" s="34" t="s">
        <v>18</v>
      </c>
      <c r="D17" s="35" t="s">
        <v>19</v>
      </c>
      <c r="E17" s="31" t="s">
        <v>541</v>
      </c>
      <c r="F17" s="32">
        <v>2</v>
      </c>
      <c r="G17" s="11">
        <v>2</v>
      </c>
      <c r="H17" s="11"/>
      <c r="I17" s="13">
        <f t="shared" si="3"/>
        <v>2</v>
      </c>
      <c r="O17" s="16">
        <f t="shared" si="0"/>
        <v>2</v>
      </c>
      <c r="P17" s="17">
        <f t="shared" si="1"/>
        <v>0</v>
      </c>
      <c r="Q17" s="18">
        <f t="shared" si="2"/>
        <v>2</v>
      </c>
      <c r="U17" s="48">
        <v>2</v>
      </c>
    </row>
    <row r="18" spans="1:38" s="3" customFormat="1" x14ac:dyDescent="0.25">
      <c r="A18" s="21" t="s">
        <v>44</v>
      </c>
      <c r="B18" s="33" t="s">
        <v>45</v>
      </c>
      <c r="C18" s="34" t="s">
        <v>18</v>
      </c>
      <c r="D18" s="35" t="s">
        <v>19</v>
      </c>
      <c r="E18" s="31" t="s">
        <v>541</v>
      </c>
      <c r="F18" s="32">
        <v>2</v>
      </c>
      <c r="G18" s="11">
        <v>2</v>
      </c>
      <c r="H18" s="11"/>
      <c r="I18" s="13">
        <f t="shared" si="3"/>
        <v>2</v>
      </c>
      <c r="O18" s="16">
        <f t="shared" si="0"/>
        <v>2</v>
      </c>
      <c r="P18" s="17">
        <f t="shared" si="1"/>
        <v>0</v>
      </c>
      <c r="Q18" s="18">
        <f t="shared" si="2"/>
        <v>2</v>
      </c>
      <c r="U18" s="48">
        <v>2</v>
      </c>
    </row>
    <row r="19" spans="1:38" s="3" customFormat="1" x14ac:dyDescent="0.25">
      <c r="A19" s="21" t="s">
        <v>46</v>
      </c>
      <c r="B19" s="33" t="s">
        <v>47</v>
      </c>
      <c r="C19" s="34" t="s">
        <v>18</v>
      </c>
      <c r="D19" s="35" t="s">
        <v>19</v>
      </c>
      <c r="E19" s="31" t="s">
        <v>541</v>
      </c>
      <c r="F19" s="32">
        <v>2</v>
      </c>
      <c r="G19" s="11">
        <v>2</v>
      </c>
      <c r="H19" s="11"/>
      <c r="I19" s="13">
        <f t="shared" si="3"/>
        <v>2</v>
      </c>
      <c r="O19" s="16">
        <f t="shared" si="0"/>
        <v>2</v>
      </c>
      <c r="P19" s="17">
        <f t="shared" si="1"/>
        <v>0</v>
      </c>
      <c r="Q19" s="18">
        <f t="shared" si="2"/>
        <v>2</v>
      </c>
      <c r="U19" s="48">
        <v>2</v>
      </c>
    </row>
    <row r="20" spans="1:38" s="3" customFormat="1" x14ac:dyDescent="0.25">
      <c r="A20" s="21" t="s">
        <v>48</v>
      </c>
      <c r="B20" s="33" t="s">
        <v>49</v>
      </c>
      <c r="C20" s="34" t="s">
        <v>18</v>
      </c>
      <c r="D20" s="35" t="s">
        <v>19</v>
      </c>
      <c r="E20" s="31" t="s">
        <v>541</v>
      </c>
      <c r="F20" s="32">
        <v>1</v>
      </c>
      <c r="G20" s="11">
        <v>1</v>
      </c>
      <c r="H20" s="11"/>
      <c r="I20" s="13">
        <f t="shared" si="3"/>
        <v>1</v>
      </c>
      <c r="O20" s="16">
        <f t="shared" si="0"/>
        <v>1</v>
      </c>
      <c r="P20" s="17">
        <f t="shared" si="1"/>
        <v>0</v>
      </c>
      <c r="Q20" s="18">
        <f t="shared" si="2"/>
        <v>1</v>
      </c>
      <c r="U20" s="48">
        <v>1</v>
      </c>
    </row>
    <row r="21" spans="1:38" s="3" customFormat="1" x14ac:dyDescent="0.25">
      <c r="A21" s="21" t="s">
        <v>50</v>
      </c>
      <c r="B21" s="33" t="s">
        <v>51</v>
      </c>
      <c r="C21" s="34" t="s">
        <v>52</v>
      </c>
      <c r="D21" s="35" t="s">
        <v>19</v>
      </c>
      <c r="E21" s="31" t="s">
        <v>540</v>
      </c>
      <c r="F21" s="32">
        <v>16</v>
      </c>
      <c r="G21" s="11">
        <v>16</v>
      </c>
      <c r="H21" s="11"/>
      <c r="I21" s="13">
        <f t="shared" si="3"/>
        <v>16</v>
      </c>
      <c r="O21" s="16">
        <f t="shared" si="0"/>
        <v>16</v>
      </c>
      <c r="P21" s="17">
        <f t="shared" si="1"/>
        <v>0</v>
      </c>
      <c r="Q21" s="18">
        <f t="shared" si="2"/>
        <v>16</v>
      </c>
      <c r="AA21" s="49">
        <v>16</v>
      </c>
    </row>
    <row r="22" spans="1:38" s="3" customFormat="1" x14ac:dyDescent="0.25">
      <c r="A22" s="21" t="s">
        <v>53</v>
      </c>
      <c r="B22" s="33" t="s">
        <v>54</v>
      </c>
      <c r="C22" s="34" t="s">
        <v>52</v>
      </c>
      <c r="D22" s="35" t="s">
        <v>19</v>
      </c>
      <c r="E22" s="31" t="s">
        <v>540</v>
      </c>
      <c r="F22" s="32">
        <v>1</v>
      </c>
      <c r="G22" s="11">
        <v>1</v>
      </c>
      <c r="H22" s="11"/>
      <c r="I22" s="13">
        <f t="shared" si="3"/>
        <v>1</v>
      </c>
      <c r="O22" s="16">
        <f t="shared" si="0"/>
        <v>1</v>
      </c>
      <c r="P22" s="17">
        <f t="shared" si="1"/>
        <v>0</v>
      </c>
      <c r="Q22" s="18">
        <f t="shared" si="2"/>
        <v>1</v>
      </c>
      <c r="AA22" s="49">
        <v>1</v>
      </c>
    </row>
    <row r="23" spans="1:38" s="3" customFormat="1" x14ac:dyDescent="0.25">
      <c r="A23" s="21" t="s">
        <v>55</v>
      </c>
      <c r="B23" s="33" t="s">
        <v>56</v>
      </c>
      <c r="C23" s="34" t="s">
        <v>52</v>
      </c>
      <c r="D23" s="35" t="s">
        <v>19</v>
      </c>
      <c r="E23" s="31" t="s">
        <v>540</v>
      </c>
      <c r="F23" s="32">
        <v>3</v>
      </c>
      <c r="G23" s="11">
        <v>3</v>
      </c>
      <c r="H23" s="11"/>
      <c r="I23" s="13">
        <f t="shared" si="3"/>
        <v>3</v>
      </c>
      <c r="O23" s="16">
        <f t="shared" si="0"/>
        <v>3</v>
      </c>
      <c r="P23" s="17">
        <f t="shared" si="1"/>
        <v>0</v>
      </c>
      <c r="Q23" s="18">
        <f t="shared" si="2"/>
        <v>3</v>
      </c>
      <c r="AA23" s="49">
        <v>3</v>
      </c>
    </row>
    <row r="24" spans="1:38" s="3" customFormat="1" x14ac:dyDescent="0.25">
      <c r="A24" s="21" t="s">
        <v>57</v>
      </c>
      <c r="B24" s="33" t="s">
        <v>58</v>
      </c>
      <c r="C24" s="34" t="s">
        <v>52</v>
      </c>
      <c r="D24" s="35" t="s">
        <v>19</v>
      </c>
      <c r="E24" s="31" t="s">
        <v>540</v>
      </c>
      <c r="F24" s="32">
        <v>8</v>
      </c>
      <c r="G24" s="11">
        <v>8</v>
      </c>
      <c r="H24" s="11"/>
      <c r="I24" s="13">
        <f t="shared" si="3"/>
        <v>8</v>
      </c>
      <c r="O24" s="16">
        <f t="shared" si="0"/>
        <v>8</v>
      </c>
      <c r="P24" s="17">
        <f t="shared" si="1"/>
        <v>1</v>
      </c>
      <c r="Q24" s="18">
        <f t="shared" si="2"/>
        <v>9</v>
      </c>
      <c r="AA24" s="49">
        <v>8</v>
      </c>
      <c r="AL24" s="3">
        <v>1</v>
      </c>
    </row>
    <row r="25" spans="1:38" s="3" customFormat="1" x14ac:dyDescent="0.25">
      <c r="A25" s="21" t="s">
        <v>59</v>
      </c>
      <c r="B25" s="33" t="s">
        <v>60</v>
      </c>
      <c r="C25" s="34" t="s">
        <v>52</v>
      </c>
      <c r="D25" s="35" t="s">
        <v>19</v>
      </c>
      <c r="E25" s="31" t="s">
        <v>540</v>
      </c>
      <c r="F25" s="32">
        <v>1</v>
      </c>
      <c r="G25" s="11">
        <v>1</v>
      </c>
      <c r="H25" s="11"/>
      <c r="I25" s="13">
        <f t="shared" si="3"/>
        <v>1</v>
      </c>
      <c r="O25" s="16">
        <f t="shared" si="0"/>
        <v>1</v>
      </c>
      <c r="P25" s="17">
        <f t="shared" si="1"/>
        <v>0</v>
      </c>
      <c r="Q25" s="18">
        <f t="shared" si="2"/>
        <v>1</v>
      </c>
      <c r="AA25" s="49">
        <v>1</v>
      </c>
    </row>
    <row r="26" spans="1:38" s="3" customFormat="1" x14ac:dyDescent="0.25">
      <c r="A26" s="21" t="s">
        <v>61</v>
      </c>
      <c r="B26" s="33" t="s">
        <v>62</v>
      </c>
      <c r="C26" s="34" t="s">
        <v>18</v>
      </c>
      <c r="D26" s="35" t="s">
        <v>19</v>
      </c>
      <c r="E26" s="31" t="s">
        <v>540</v>
      </c>
      <c r="F26" s="32">
        <v>1</v>
      </c>
      <c r="G26" s="11">
        <v>1</v>
      </c>
      <c r="H26" s="11"/>
      <c r="I26" s="13">
        <f t="shared" si="3"/>
        <v>1</v>
      </c>
      <c r="O26" s="16">
        <f t="shared" si="0"/>
        <v>1</v>
      </c>
      <c r="P26" s="17">
        <f t="shared" si="1"/>
        <v>0</v>
      </c>
      <c r="Q26" s="18">
        <f t="shared" si="2"/>
        <v>1</v>
      </c>
      <c r="U26" s="48">
        <v>1</v>
      </c>
    </row>
    <row r="27" spans="1:38" s="3" customFormat="1" x14ac:dyDescent="0.25">
      <c r="A27" s="21" t="s">
        <v>63</v>
      </c>
      <c r="B27" s="33" t="s">
        <v>64</v>
      </c>
      <c r="C27" s="34" t="s">
        <v>18</v>
      </c>
      <c r="D27" s="35" t="s">
        <v>19</v>
      </c>
      <c r="E27" s="31" t="s">
        <v>540</v>
      </c>
      <c r="F27" s="32">
        <v>1</v>
      </c>
      <c r="G27" s="11">
        <v>1</v>
      </c>
      <c r="H27" s="11"/>
      <c r="I27" s="13">
        <f t="shared" si="3"/>
        <v>1</v>
      </c>
      <c r="O27" s="16">
        <f t="shared" si="0"/>
        <v>1</v>
      </c>
      <c r="P27" s="17">
        <f t="shared" si="1"/>
        <v>0</v>
      </c>
      <c r="Q27" s="18">
        <f t="shared" si="2"/>
        <v>1</v>
      </c>
      <c r="U27" s="48">
        <v>1</v>
      </c>
    </row>
    <row r="28" spans="1:38" s="3" customFormat="1" x14ac:dyDescent="0.25">
      <c r="A28" s="21" t="s">
        <v>65</v>
      </c>
      <c r="B28" s="33" t="s">
        <v>66</v>
      </c>
      <c r="C28" s="34" t="s">
        <v>18</v>
      </c>
      <c r="D28" s="35" t="s">
        <v>19</v>
      </c>
      <c r="E28" s="31" t="s">
        <v>540</v>
      </c>
      <c r="F28" s="32">
        <v>1</v>
      </c>
      <c r="G28" s="11">
        <v>1</v>
      </c>
      <c r="H28" s="11"/>
      <c r="I28" s="13">
        <f t="shared" si="3"/>
        <v>1</v>
      </c>
      <c r="O28" s="16">
        <f t="shared" si="0"/>
        <v>1</v>
      </c>
      <c r="P28" s="17">
        <f t="shared" si="1"/>
        <v>0</v>
      </c>
      <c r="Q28" s="18">
        <f t="shared" si="2"/>
        <v>1</v>
      </c>
      <c r="U28" s="48">
        <v>1</v>
      </c>
    </row>
    <row r="29" spans="1:38" s="3" customFormat="1" x14ac:dyDescent="0.25">
      <c r="A29" s="21" t="s">
        <v>67</v>
      </c>
      <c r="B29" s="33" t="s">
        <v>68</v>
      </c>
      <c r="C29" s="34" t="s">
        <v>18</v>
      </c>
      <c r="D29" s="35" t="s">
        <v>19</v>
      </c>
      <c r="E29" s="31" t="s">
        <v>540</v>
      </c>
      <c r="F29" s="32">
        <v>1</v>
      </c>
      <c r="G29" s="11">
        <v>1</v>
      </c>
      <c r="H29" s="11"/>
      <c r="I29" s="13">
        <f t="shared" si="3"/>
        <v>1</v>
      </c>
      <c r="O29" s="16">
        <f t="shared" si="0"/>
        <v>1</v>
      </c>
      <c r="P29" s="17">
        <f t="shared" si="1"/>
        <v>0</v>
      </c>
      <c r="Q29" s="18">
        <f t="shared" si="2"/>
        <v>1</v>
      </c>
      <c r="U29" s="48">
        <v>1</v>
      </c>
    </row>
    <row r="30" spans="1:38" s="3" customFormat="1" x14ac:dyDescent="0.25">
      <c r="A30" s="21" t="s">
        <v>69</v>
      </c>
      <c r="B30" s="33" t="s">
        <v>70</v>
      </c>
      <c r="C30" s="34" t="s">
        <v>18</v>
      </c>
      <c r="D30" s="35" t="s">
        <v>19</v>
      </c>
      <c r="E30" s="31" t="s">
        <v>541</v>
      </c>
      <c r="F30" s="32">
        <v>2</v>
      </c>
      <c r="G30" s="11">
        <v>2</v>
      </c>
      <c r="H30" s="11"/>
      <c r="I30" s="13">
        <f t="shared" si="3"/>
        <v>2</v>
      </c>
      <c r="O30" s="16">
        <f t="shared" si="0"/>
        <v>2</v>
      </c>
      <c r="P30" s="17">
        <f t="shared" si="1"/>
        <v>0</v>
      </c>
      <c r="Q30" s="18">
        <f t="shared" si="2"/>
        <v>2</v>
      </c>
      <c r="U30" s="48">
        <v>2</v>
      </c>
    </row>
    <row r="31" spans="1:38" s="3" customFormat="1" x14ac:dyDescent="0.25">
      <c r="A31" s="21" t="s">
        <v>71</v>
      </c>
      <c r="B31" s="33" t="s">
        <v>72</v>
      </c>
      <c r="C31" s="34" t="s">
        <v>18</v>
      </c>
      <c r="D31" s="35" t="s">
        <v>19</v>
      </c>
      <c r="E31" s="31" t="s">
        <v>541</v>
      </c>
      <c r="F31" s="32">
        <v>3</v>
      </c>
      <c r="G31" s="11">
        <v>3</v>
      </c>
      <c r="H31" s="11"/>
      <c r="I31" s="13">
        <f t="shared" si="3"/>
        <v>3</v>
      </c>
      <c r="O31" s="16">
        <f t="shared" si="0"/>
        <v>3</v>
      </c>
      <c r="P31" s="17">
        <f t="shared" si="1"/>
        <v>0</v>
      </c>
      <c r="Q31" s="18">
        <f t="shared" si="2"/>
        <v>3</v>
      </c>
      <c r="U31" s="48">
        <v>3</v>
      </c>
    </row>
    <row r="32" spans="1:38" s="3" customFormat="1" x14ac:dyDescent="0.25">
      <c r="A32" s="21" t="s">
        <v>73</v>
      </c>
      <c r="B32" s="33" t="s">
        <v>74</v>
      </c>
      <c r="C32" s="34" t="s">
        <v>18</v>
      </c>
      <c r="D32" s="35" t="s">
        <v>19</v>
      </c>
      <c r="E32" s="31" t="s">
        <v>541</v>
      </c>
      <c r="F32" s="32">
        <v>2</v>
      </c>
      <c r="G32" s="11">
        <v>2</v>
      </c>
      <c r="H32" s="11"/>
      <c r="I32" s="13">
        <f t="shared" si="3"/>
        <v>2</v>
      </c>
      <c r="O32" s="16">
        <f t="shared" si="0"/>
        <v>2</v>
      </c>
      <c r="P32" s="17">
        <f t="shared" si="1"/>
        <v>0</v>
      </c>
      <c r="Q32" s="18">
        <f t="shared" si="2"/>
        <v>2</v>
      </c>
      <c r="U32" s="48">
        <v>2</v>
      </c>
    </row>
    <row r="33" spans="1:30" s="3" customFormat="1" x14ac:dyDescent="0.25">
      <c r="A33" s="21" t="s">
        <v>75</v>
      </c>
      <c r="B33" s="33" t="s">
        <v>76</v>
      </c>
      <c r="C33" s="34" t="s">
        <v>18</v>
      </c>
      <c r="D33" s="35" t="s">
        <v>19</v>
      </c>
      <c r="E33" s="31" t="s">
        <v>540</v>
      </c>
      <c r="F33" s="32">
        <v>1</v>
      </c>
      <c r="G33" s="11">
        <v>1</v>
      </c>
      <c r="H33" s="11">
        <v>1</v>
      </c>
      <c r="I33" s="13">
        <f t="shared" si="3"/>
        <v>0</v>
      </c>
      <c r="O33" s="16">
        <f t="shared" si="0"/>
        <v>0</v>
      </c>
      <c r="P33" s="17">
        <f t="shared" si="1"/>
        <v>0</v>
      </c>
      <c r="Q33" s="18">
        <f t="shared" si="2"/>
        <v>0</v>
      </c>
    </row>
    <row r="34" spans="1:30" s="3" customFormat="1" x14ac:dyDescent="0.25">
      <c r="A34" s="21" t="s">
        <v>77</v>
      </c>
      <c r="B34" s="33" t="s">
        <v>78</v>
      </c>
      <c r="C34" s="34" t="s">
        <v>18</v>
      </c>
      <c r="D34" s="35" t="s">
        <v>19</v>
      </c>
      <c r="E34" s="31" t="s">
        <v>540</v>
      </c>
      <c r="F34" s="32">
        <v>2</v>
      </c>
      <c r="G34" s="11">
        <v>2</v>
      </c>
      <c r="H34" s="11"/>
      <c r="I34" s="13">
        <f t="shared" si="3"/>
        <v>2</v>
      </c>
      <c r="O34" s="16">
        <f t="shared" si="0"/>
        <v>2</v>
      </c>
      <c r="P34" s="17">
        <f t="shared" si="1"/>
        <v>0</v>
      </c>
      <c r="Q34" s="18">
        <f t="shared" si="2"/>
        <v>2</v>
      </c>
      <c r="U34" s="48">
        <v>2</v>
      </c>
    </row>
    <row r="35" spans="1:30" s="3" customFormat="1" x14ac:dyDescent="0.25">
      <c r="A35" s="21" t="s">
        <v>79</v>
      </c>
      <c r="B35" s="33" t="s">
        <v>80</v>
      </c>
      <c r="C35" s="34" t="s">
        <v>18</v>
      </c>
      <c r="D35" s="35" t="s">
        <v>19</v>
      </c>
      <c r="E35" s="31" t="s">
        <v>540</v>
      </c>
      <c r="F35" s="32">
        <v>3</v>
      </c>
      <c r="G35" s="11">
        <v>3</v>
      </c>
      <c r="H35" s="11">
        <v>1</v>
      </c>
      <c r="I35" s="13">
        <f t="shared" si="3"/>
        <v>2</v>
      </c>
      <c r="O35" s="16">
        <f t="shared" si="0"/>
        <v>2</v>
      </c>
      <c r="P35" s="17">
        <f t="shared" si="1"/>
        <v>0</v>
      </c>
      <c r="Q35" s="18">
        <f t="shared" si="2"/>
        <v>2</v>
      </c>
      <c r="U35" s="48">
        <v>2</v>
      </c>
    </row>
    <row r="36" spans="1:30" s="3" customFormat="1" x14ac:dyDescent="0.25">
      <c r="A36" s="21" t="s">
        <v>81</v>
      </c>
      <c r="B36" s="33" t="s">
        <v>82</v>
      </c>
      <c r="C36" s="34" t="s">
        <v>18</v>
      </c>
      <c r="D36" s="35" t="s">
        <v>19</v>
      </c>
      <c r="E36" s="31" t="s">
        <v>540</v>
      </c>
      <c r="F36" s="32">
        <v>1</v>
      </c>
      <c r="G36" s="11">
        <v>1</v>
      </c>
      <c r="H36" s="11">
        <v>1</v>
      </c>
      <c r="I36" s="13">
        <f t="shared" si="3"/>
        <v>0</v>
      </c>
      <c r="O36" s="16">
        <f t="shared" si="0"/>
        <v>0</v>
      </c>
      <c r="P36" s="17">
        <f t="shared" si="1"/>
        <v>0</v>
      </c>
      <c r="Q36" s="18">
        <f t="shared" si="2"/>
        <v>0</v>
      </c>
    </row>
    <row r="37" spans="1:30" s="3" customFormat="1" x14ac:dyDescent="0.25">
      <c r="A37" s="21" t="s">
        <v>83</v>
      </c>
      <c r="B37" s="33" t="s">
        <v>84</v>
      </c>
      <c r="C37" s="34" t="s">
        <v>18</v>
      </c>
      <c r="D37" s="35" t="s">
        <v>19</v>
      </c>
      <c r="E37" s="31" t="s">
        <v>540</v>
      </c>
      <c r="F37" s="32">
        <v>2</v>
      </c>
      <c r="G37" s="11">
        <v>2</v>
      </c>
      <c r="H37" s="11">
        <v>2</v>
      </c>
      <c r="I37" s="13">
        <f t="shared" si="3"/>
        <v>0</v>
      </c>
      <c r="O37" s="16">
        <f t="shared" si="0"/>
        <v>0</v>
      </c>
      <c r="P37" s="17">
        <f t="shared" si="1"/>
        <v>0</v>
      </c>
      <c r="Q37" s="18">
        <f t="shared" si="2"/>
        <v>0</v>
      </c>
    </row>
    <row r="38" spans="1:30" s="3" customFormat="1" x14ac:dyDescent="0.25">
      <c r="A38" s="21" t="s">
        <v>85</v>
      </c>
      <c r="B38" s="33" t="s">
        <v>86</v>
      </c>
      <c r="C38" s="34" t="s">
        <v>18</v>
      </c>
      <c r="D38" s="35" t="s">
        <v>19</v>
      </c>
      <c r="E38" s="31" t="s">
        <v>540</v>
      </c>
      <c r="F38" s="32">
        <v>5</v>
      </c>
      <c r="G38" s="11">
        <v>5</v>
      </c>
      <c r="H38" s="11"/>
      <c r="I38" s="13">
        <f t="shared" si="3"/>
        <v>5</v>
      </c>
      <c r="O38" s="16">
        <f t="shared" si="0"/>
        <v>5</v>
      </c>
      <c r="P38" s="17">
        <f t="shared" si="1"/>
        <v>0</v>
      </c>
      <c r="Q38" s="18">
        <f t="shared" si="2"/>
        <v>5</v>
      </c>
      <c r="X38" s="49">
        <v>5</v>
      </c>
    </row>
    <row r="39" spans="1:30" s="3" customFormat="1" x14ac:dyDescent="0.25">
      <c r="A39" s="21" t="s">
        <v>87</v>
      </c>
      <c r="B39" s="33" t="s">
        <v>88</v>
      </c>
      <c r="C39" s="34" t="s">
        <v>18</v>
      </c>
      <c r="D39" s="35" t="s">
        <v>19</v>
      </c>
      <c r="E39" s="31" t="s">
        <v>541</v>
      </c>
      <c r="F39" s="32">
        <v>2</v>
      </c>
      <c r="G39" s="11">
        <v>2</v>
      </c>
      <c r="H39" s="11"/>
      <c r="I39" s="13">
        <f t="shared" si="3"/>
        <v>2</v>
      </c>
      <c r="O39" s="16">
        <f t="shared" si="0"/>
        <v>2</v>
      </c>
      <c r="P39" s="17">
        <f t="shared" si="1"/>
        <v>0</v>
      </c>
      <c r="Q39" s="18">
        <f t="shared" si="2"/>
        <v>2</v>
      </c>
      <c r="U39" s="48">
        <v>2</v>
      </c>
    </row>
    <row r="40" spans="1:30" s="3" customFormat="1" x14ac:dyDescent="0.25">
      <c r="A40" s="21" t="s">
        <v>89</v>
      </c>
      <c r="B40" s="33" t="s">
        <v>90</v>
      </c>
      <c r="C40" s="34" t="s">
        <v>18</v>
      </c>
      <c r="D40" s="35" t="s">
        <v>19</v>
      </c>
      <c r="E40" s="31" t="s">
        <v>541</v>
      </c>
      <c r="F40" s="32">
        <v>8</v>
      </c>
      <c r="G40" s="11">
        <v>8</v>
      </c>
      <c r="H40" s="11"/>
      <c r="I40" s="13">
        <f t="shared" si="3"/>
        <v>8</v>
      </c>
      <c r="O40" s="16">
        <f t="shared" si="0"/>
        <v>8</v>
      </c>
      <c r="P40" s="17">
        <f t="shared" si="1"/>
        <v>0</v>
      </c>
      <c r="Q40" s="18">
        <f t="shared" si="2"/>
        <v>8</v>
      </c>
      <c r="U40" s="48">
        <v>8</v>
      </c>
    </row>
    <row r="41" spans="1:30" s="3" customFormat="1" x14ac:dyDescent="0.25">
      <c r="A41" s="21" t="s">
        <v>91</v>
      </c>
      <c r="B41" s="33" t="s">
        <v>92</v>
      </c>
      <c r="C41" s="34" t="s">
        <v>18</v>
      </c>
      <c r="D41" s="35" t="s">
        <v>19</v>
      </c>
      <c r="E41" s="31" t="s">
        <v>541</v>
      </c>
      <c r="F41" s="32">
        <v>2</v>
      </c>
      <c r="G41" s="11">
        <v>2</v>
      </c>
      <c r="H41" s="11"/>
      <c r="I41" s="13">
        <f t="shared" si="3"/>
        <v>2</v>
      </c>
      <c r="O41" s="16">
        <f t="shared" si="0"/>
        <v>2</v>
      </c>
      <c r="P41" s="17">
        <f t="shared" si="1"/>
        <v>0</v>
      </c>
      <c r="Q41" s="18">
        <f t="shared" si="2"/>
        <v>2</v>
      </c>
      <c r="U41" s="48">
        <v>2</v>
      </c>
    </row>
    <row r="42" spans="1:30" s="3" customFormat="1" x14ac:dyDescent="0.25">
      <c r="A42" s="21" t="s">
        <v>93</v>
      </c>
      <c r="B42" s="33" t="s">
        <v>94</v>
      </c>
      <c r="C42" s="34" t="s">
        <v>18</v>
      </c>
      <c r="D42" s="35" t="s">
        <v>19</v>
      </c>
      <c r="E42" s="31" t="s">
        <v>541</v>
      </c>
      <c r="F42" s="32">
        <v>3</v>
      </c>
      <c r="G42" s="11">
        <v>3</v>
      </c>
      <c r="H42" s="11"/>
      <c r="I42" s="13">
        <f t="shared" si="3"/>
        <v>3</v>
      </c>
      <c r="O42" s="16">
        <f t="shared" si="0"/>
        <v>3</v>
      </c>
      <c r="P42" s="17">
        <f t="shared" si="1"/>
        <v>0</v>
      </c>
      <c r="Q42" s="18">
        <f t="shared" si="2"/>
        <v>3</v>
      </c>
      <c r="U42" s="48">
        <v>3</v>
      </c>
    </row>
    <row r="43" spans="1:30" s="3" customFormat="1" x14ac:dyDescent="0.25">
      <c r="A43" s="21" t="s">
        <v>95</v>
      </c>
      <c r="B43" s="33" t="s">
        <v>96</v>
      </c>
      <c r="C43" s="34" t="s">
        <v>18</v>
      </c>
      <c r="D43" s="35" t="s">
        <v>19</v>
      </c>
      <c r="E43" s="31" t="s">
        <v>541</v>
      </c>
      <c r="F43" s="32">
        <v>1</v>
      </c>
      <c r="G43" s="11">
        <v>1</v>
      </c>
      <c r="H43" s="11"/>
      <c r="I43" s="13">
        <f t="shared" si="3"/>
        <v>1</v>
      </c>
      <c r="O43" s="16">
        <f t="shared" si="0"/>
        <v>1</v>
      </c>
      <c r="P43" s="17">
        <f t="shared" si="1"/>
        <v>0</v>
      </c>
      <c r="Q43" s="18">
        <f t="shared" si="2"/>
        <v>1</v>
      </c>
      <c r="U43" s="48">
        <v>1</v>
      </c>
    </row>
    <row r="44" spans="1:30" s="3" customFormat="1" x14ac:dyDescent="0.25">
      <c r="A44" s="21" t="s">
        <v>97</v>
      </c>
      <c r="B44" s="33" t="s">
        <v>98</v>
      </c>
      <c r="C44" s="34" t="s">
        <v>18</v>
      </c>
      <c r="D44" s="35" t="s">
        <v>19</v>
      </c>
      <c r="E44" s="31" t="s">
        <v>541</v>
      </c>
      <c r="F44" s="32">
        <v>2</v>
      </c>
      <c r="G44" s="11">
        <v>2</v>
      </c>
      <c r="H44" s="11"/>
      <c r="I44" s="13">
        <f t="shared" si="3"/>
        <v>2</v>
      </c>
      <c r="O44" s="16">
        <f t="shared" si="0"/>
        <v>2</v>
      </c>
      <c r="P44" s="17">
        <f t="shared" si="1"/>
        <v>0</v>
      </c>
      <c r="Q44" s="18">
        <f t="shared" si="2"/>
        <v>2</v>
      </c>
      <c r="U44" s="48">
        <v>2</v>
      </c>
    </row>
    <row r="45" spans="1:30" s="3" customFormat="1" x14ac:dyDescent="0.25">
      <c r="A45" s="21">
        <v>3.4</v>
      </c>
      <c r="B45" s="36" t="s">
        <v>99</v>
      </c>
      <c r="C45" s="34"/>
      <c r="D45" s="35"/>
      <c r="E45" s="31"/>
      <c r="F45" s="32"/>
      <c r="G45" s="11"/>
      <c r="H45" s="11"/>
      <c r="I45" s="13">
        <f t="shared" si="3"/>
        <v>0</v>
      </c>
      <c r="O45" s="16">
        <f t="shared" si="0"/>
        <v>0</v>
      </c>
      <c r="P45" s="17">
        <f t="shared" si="1"/>
        <v>0</v>
      </c>
      <c r="Q45" s="18">
        <f t="shared" si="2"/>
        <v>0</v>
      </c>
    </row>
    <row r="46" spans="1:30" s="3" customFormat="1" x14ac:dyDescent="0.25">
      <c r="A46" s="21" t="s">
        <v>100</v>
      </c>
      <c r="B46" s="33" t="s">
        <v>101</v>
      </c>
      <c r="C46" s="34" t="s">
        <v>102</v>
      </c>
      <c r="D46" s="35" t="s">
        <v>19</v>
      </c>
      <c r="E46" s="31" t="s">
        <v>542</v>
      </c>
      <c r="F46" s="32">
        <v>15</v>
      </c>
      <c r="G46" s="11">
        <v>17</v>
      </c>
      <c r="H46" s="11"/>
      <c r="I46" s="13">
        <f t="shared" si="3"/>
        <v>17</v>
      </c>
      <c r="O46" s="16">
        <f t="shared" si="0"/>
        <v>17</v>
      </c>
      <c r="P46" s="17">
        <f t="shared" si="1"/>
        <v>0</v>
      </c>
      <c r="Q46" s="18">
        <f t="shared" si="2"/>
        <v>17</v>
      </c>
      <c r="R46" s="48">
        <v>17</v>
      </c>
    </row>
    <row r="47" spans="1:30" s="3" customFormat="1" x14ac:dyDescent="0.25">
      <c r="A47" s="21" t="s">
        <v>103</v>
      </c>
      <c r="B47" s="33" t="s">
        <v>104</v>
      </c>
      <c r="C47" s="34" t="s">
        <v>102</v>
      </c>
      <c r="D47" s="35" t="s">
        <v>19</v>
      </c>
      <c r="E47" s="31" t="s">
        <v>542</v>
      </c>
      <c r="F47" s="32">
        <v>1</v>
      </c>
      <c r="G47" s="11">
        <v>1</v>
      </c>
      <c r="H47" s="11">
        <v>1</v>
      </c>
      <c r="I47" s="13">
        <f t="shared" si="3"/>
        <v>0</v>
      </c>
      <c r="O47" s="16">
        <f t="shared" si="0"/>
        <v>0</v>
      </c>
      <c r="P47" s="17">
        <f t="shared" si="1"/>
        <v>0</v>
      </c>
      <c r="Q47" s="18">
        <f t="shared" si="2"/>
        <v>0</v>
      </c>
    </row>
    <row r="48" spans="1:30" s="3" customFormat="1" x14ac:dyDescent="0.25">
      <c r="A48" s="21" t="s">
        <v>105</v>
      </c>
      <c r="B48" s="33" t="s">
        <v>106</v>
      </c>
      <c r="C48" s="34" t="s">
        <v>102</v>
      </c>
      <c r="D48" s="35" t="s">
        <v>19</v>
      </c>
      <c r="E48" s="31" t="s">
        <v>542</v>
      </c>
      <c r="F48" s="32">
        <v>1</v>
      </c>
      <c r="G48" s="11">
        <v>1</v>
      </c>
      <c r="H48" s="11"/>
      <c r="I48" s="13">
        <f t="shared" si="3"/>
        <v>1</v>
      </c>
      <c r="J48" s="3">
        <v>1</v>
      </c>
      <c r="O48" s="16">
        <f t="shared" si="0"/>
        <v>2</v>
      </c>
      <c r="P48" s="17">
        <f t="shared" si="1"/>
        <v>0</v>
      </c>
      <c r="Q48" s="18">
        <f t="shared" si="2"/>
        <v>2</v>
      </c>
      <c r="R48" s="48">
        <v>1</v>
      </c>
      <c r="AD48" s="49">
        <v>1</v>
      </c>
    </row>
    <row r="49" spans="1:30" s="3" customFormat="1" x14ac:dyDescent="0.25">
      <c r="A49" s="21" t="s">
        <v>107</v>
      </c>
      <c r="B49" s="33" t="s">
        <v>108</v>
      </c>
      <c r="C49" s="34" t="s">
        <v>102</v>
      </c>
      <c r="D49" s="35" t="s">
        <v>19</v>
      </c>
      <c r="E49" s="31" t="s">
        <v>542</v>
      </c>
      <c r="F49" s="32">
        <v>13</v>
      </c>
      <c r="G49" s="11">
        <v>18</v>
      </c>
      <c r="H49" s="11">
        <v>6</v>
      </c>
      <c r="I49" s="13">
        <f t="shared" si="3"/>
        <v>12</v>
      </c>
      <c r="O49" s="16">
        <f t="shared" si="0"/>
        <v>12</v>
      </c>
      <c r="P49" s="17">
        <f t="shared" si="1"/>
        <v>0</v>
      </c>
      <c r="Q49" s="18">
        <f t="shared" si="2"/>
        <v>12</v>
      </c>
      <c r="R49" s="48">
        <v>12</v>
      </c>
    </row>
    <row r="50" spans="1:30" s="3" customFormat="1" x14ac:dyDescent="0.25">
      <c r="A50" s="21" t="s">
        <v>109</v>
      </c>
      <c r="B50" s="33" t="s">
        <v>110</v>
      </c>
      <c r="C50" s="34" t="s">
        <v>102</v>
      </c>
      <c r="D50" s="35" t="s">
        <v>19</v>
      </c>
      <c r="E50" s="31" t="s">
        <v>542</v>
      </c>
      <c r="F50" s="32">
        <v>208</v>
      </c>
      <c r="G50" s="11">
        <v>249</v>
      </c>
      <c r="H50" s="11">
        <v>21</v>
      </c>
      <c r="I50" s="13">
        <f t="shared" si="3"/>
        <v>228</v>
      </c>
      <c r="O50" s="16">
        <f t="shared" si="0"/>
        <v>228</v>
      </c>
      <c r="P50" s="17">
        <f t="shared" si="1"/>
        <v>0</v>
      </c>
      <c r="Q50" s="18">
        <f t="shared" si="2"/>
        <v>228</v>
      </c>
      <c r="R50" s="48">
        <v>228</v>
      </c>
    </row>
    <row r="51" spans="1:30" s="3" customFormat="1" x14ac:dyDescent="0.25">
      <c r="A51" s="21" t="s">
        <v>111</v>
      </c>
      <c r="B51" s="33" t="s">
        <v>112</v>
      </c>
      <c r="C51" s="34" t="s">
        <v>102</v>
      </c>
      <c r="D51" s="35" t="s">
        <v>19</v>
      </c>
      <c r="E51" s="31" t="s">
        <v>543</v>
      </c>
      <c r="F51" s="32">
        <v>12</v>
      </c>
      <c r="G51" s="11">
        <v>15</v>
      </c>
      <c r="H51" s="11">
        <v>2</v>
      </c>
      <c r="I51" s="13">
        <f t="shared" si="3"/>
        <v>13</v>
      </c>
      <c r="O51" s="16">
        <f t="shared" si="0"/>
        <v>13</v>
      </c>
      <c r="P51" s="17">
        <f t="shared" si="1"/>
        <v>0</v>
      </c>
      <c r="Q51" s="18">
        <f t="shared" si="2"/>
        <v>13</v>
      </c>
      <c r="R51" s="48">
        <v>13</v>
      </c>
    </row>
    <row r="52" spans="1:30" s="3" customFormat="1" x14ac:dyDescent="0.25">
      <c r="A52" s="21" t="s">
        <v>113</v>
      </c>
      <c r="B52" s="33" t="s">
        <v>114</v>
      </c>
      <c r="C52" s="34" t="s">
        <v>102</v>
      </c>
      <c r="D52" s="35" t="s">
        <v>19</v>
      </c>
      <c r="E52" s="31" t="s">
        <v>543</v>
      </c>
      <c r="F52" s="32">
        <v>131</v>
      </c>
      <c r="G52" s="11">
        <v>167</v>
      </c>
      <c r="H52" s="11">
        <v>24</v>
      </c>
      <c r="I52" s="13">
        <f t="shared" si="3"/>
        <v>143</v>
      </c>
      <c r="O52" s="16">
        <f t="shared" si="0"/>
        <v>143</v>
      </c>
      <c r="P52" s="17">
        <f t="shared" si="1"/>
        <v>0</v>
      </c>
      <c r="Q52" s="18">
        <f t="shared" si="2"/>
        <v>143</v>
      </c>
      <c r="R52" s="48">
        <v>143</v>
      </c>
    </row>
    <row r="53" spans="1:30" s="3" customFormat="1" x14ac:dyDescent="0.25">
      <c r="A53" s="21" t="s">
        <v>115</v>
      </c>
      <c r="B53" s="33" t="s">
        <v>116</v>
      </c>
      <c r="C53" s="34" t="s">
        <v>102</v>
      </c>
      <c r="D53" s="35" t="s">
        <v>19</v>
      </c>
      <c r="E53" s="31" t="s">
        <v>543</v>
      </c>
      <c r="F53" s="32">
        <v>1</v>
      </c>
      <c r="G53" s="11">
        <v>1</v>
      </c>
      <c r="H53" s="11">
        <v>1</v>
      </c>
      <c r="I53" s="13">
        <f t="shared" si="3"/>
        <v>0</v>
      </c>
      <c r="O53" s="16">
        <f t="shared" si="0"/>
        <v>0</v>
      </c>
      <c r="P53" s="17">
        <f t="shared" si="1"/>
        <v>0</v>
      </c>
      <c r="Q53" s="18">
        <f t="shared" si="2"/>
        <v>0</v>
      </c>
    </row>
    <row r="54" spans="1:30" s="3" customFormat="1" x14ac:dyDescent="0.25">
      <c r="A54" s="21" t="s">
        <v>117</v>
      </c>
      <c r="B54" s="33" t="s">
        <v>118</v>
      </c>
      <c r="C54" s="34" t="s">
        <v>102</v>
      </c>
      <c r="D54" s="35" t="s">
        <v>19</v>
      </c>
      <c r="E54" s="31" t="s">
        <v>543</v>
      </c>
      <c r="F54" s="32">
        <v>48</v>
      </c>
      <c r="G54" s="11">
        <v>48</v>
      </c>
      <c r="H54" s="11">
        <v>48</v>
      </c>
      <c r="I54" s="13">
        <f t="shared" si="3"/>
        <v>0</v>
      </c>
      <c r="O54" s="16">
        <f t="shared" si="0"/>
        <v>0</v>
      </c>
      <c r="P54" s="17">
        <f t="shared" si="1"/>
        <v>0</v>
      </c>
      <c r="Q54" s="18">
        <f t="shared" si="2"/>
        <v>0</v>
      </c>
    </row>
    <row r="55" spans="1:30" s="3" customFormat="1" x14ac:dyDescent="0.25">
      <c r="A55" s="21" t="s">
        <v>119</v>
      </c>
      <c r="B55" s="33" t="s">
        <v>120</v>
      </c>
      <c r="C55" s="34" t="s">
        <v>102</v>
      </c>
      <c r="D55" s="35" t="s">
        <v>19</v>
      </c>
      <c r="E55" s="31" t="s">
        <v>543</v>
      </c>
      <c r="F55" s="32">
        <v>7</v>
      </c>
      <c r="G55" s="11">
        <v>7</v>
      </c>
      <c r="H55" s="11">
        <v>6</v>
      </c>
      <c r="I55" s="13">
        <f t="shared" si="3"/>
        <v>1</v>
      </c>
      <c r="O55" s="16">
        <f t="shared" si="0"/>
        <v>1</v>
      </c>
      <c r="P55" s="17">
        <f t="shared" si="1"/>
        <v>0</v>
      </c>
      <c r="Q55" s="18">
        <f t="shared" si="2"/>
        <v>1</v>
      </c>
      <c r="T55" s="48">
        <v>1</v>
      </c>
    </row>
    <row r="56" spans="1:30" s="3" customFormat="1" x14ac:dyDescent="0.25">
      <c r="A56" s="21" t="s">
        <v>121</v>
      </c>
      <c r="B56" s="33" t="s">
        <v>122</v>
      </c>
      <c r="C56" s="34" t="s">
        <v>102</v>
      </c>
      <c r="D56" s="35" t="s">
        <v>19</v>
      </c>
      <c r="E56" s="31" t="s">
        <v>543</v>
      </c>
      <c r="F56" s="32">
        <v>64</v>
      </c>
      <c r="G56" s="11">
        <v>64</v>
      </c>
      <c r="H56" s="11">
        <v>64</v>
      </c>
      <c r="I56" s="13">
        <f t="shared" si="3"/>
        <v>0</v>
      </c>
      <c r="J56" s="3">
        <v>5</v>
      </c>
      <c r="O56" s="16">
        <f t="shared" si="0"/>
        <v>5</v>
      </c>
      <c r="P56" s="17">
        <f t="shared" si="1"/>
        <v>0</v>
      </c>
      <c r="Q56" s="18">
        <f t="shared" si="2"/>
        <v>5</v>
      </c>
      <c r="AD56" s="49">
        <v>5</v>
      </c>
    </row>
    <row r="57" spans="1:30" s="3" customFormat="1" x14ac:dyDescent="0.25">
      <c r="A57" s="21" t="s">
        <v>123</v>
      </c>
      <c r="B57" s="33" t="s">
        <v>124</v>
      </c>
      <c r="C57" s="34" t="s">
        <v>102</v>
      </c>
      <c r="D57" s="35" t="s">
        <v>19</v>
      </c>
      <c r="E57" s="31" t="s">
        <v>543</v>
      </c>
      <c r="F57" s="32">
        <v>6</v>
      </c>
      <c r="G57" s="11">
        <v>6</v>
      </c>
      <c r="H57" s="11">
        <v>6</v>
      </c>
      <c r="I57" s="13">
        <f t="shared" si="3"/>
        <v>0</v>
      </c>
      <c r="O57" s="16">
        <f t="shared" si="0"/>
        <v>0</v>
      </c>
      <c r="P57" s="17">
        <f t="shared" si="1"/>
        <v>0</v>
      </c>
      <c r="Q57" s="18">
        <f t="shared" si="2"/>
        <v>0</v>
      </c>
    </row>
    <row r="58" spans="1:30" s="3" customFormat="1" x14ac:dyDescent="0.25">
      <c r="A58" s="21" t="s">
        <v>125</v>
      </c>
      <c r="B58" s="33" t="s">
        <v>126</v>
      </c>
      <c r="C58" s="34" t="s">
        <v>102</v>
      </c>
      <c r="D58" s="35" t="s">
        <v>19</v>
      </c>
      <c r="E58" s="31" t="s">
        <v>543</v>
      </c>
      <c r="F58" s="32">
        <v>73</v>
      </c>
      <c r="G58" s="11">
        <v>73</v>
      </c>
      <c r="H58" s="11">
        <v>73</v>
      </c>
      <c r="I58" s="13">
        <f t="shared" si="3"/>
        <v>0</v>
      </c>
      <c r="J58" s="3">
        <v>2</v>
      </c>
      <c r="O58" s="16">
        <f t="shared" si="0"/>
        <v>2</v>
      </c>
      <c r="P58" s="17">
        <f t="shared" si="1"/>
        <v>0</v>
      </c>
      <c r="Q58" s="18">
        <f t="shared" si="2"/>
        <v>2</v>
      </c>
      <c r="AD58" s="3">
        <v>2</v>
      </c>
    </row>
    <row r="59" spans="1:30" s="3" customFormat="1" x14ac:dyDescent="0.25">
      <c r="A59" s="21" t="s">
        <v>127</v>
      </c>
      <c r="B59" s="33" t="s">
        <v>128</v>
      </c>
      <c r="C59" s="34" t="s">
        <v>102</v>
      </c>
      <c r="D59" s="35" t="s">
        <v>19</v>
      </c>
      <c r="E59" s="31" t="s">
        <v>543</v>
      </c>
      <c r="F59" s="32">
        <v>1</v>
      </c>
      <c r="G59" s="11">
        <v>1</v>
      </c>
      <c r="H59" s="11">
        <v>1</v>
      </c>
      <c r="I59" s="13">
        <f t="shared" si="3"/>
        <v>0</v>
      </c>
      <c r="J59" s="3">
        <v>1</v>
      </c>
      <c r="O59" s="16">
        <f t="shared" si="0"/>
        <v>1</v>
      </c>
      <c r="P59" s="17">
        <f t="shared" si="1"/>
        <v>0</v>
      </c>
      <c r="Q59" s="18">
        <f t="shared" si="2"/>
        <v>1</v>
      </c>
      <c r="AD59" s="3">
        <v>1</v>
      </c>
    </row>
    <row r="60" spans="1:30" s="3" customFormat="1" x14ac:dyDescent="0.25">
      <c r="A60" s="21" t="s">
        <v>129</v>
      </c>
      <c r="B60" s="33" t="s">
        <v>130</v>
      </c>
      <c r="C60" s="34" t="s">
        <v>102</v>
      </c>
      <c r="D60" s="35" t="s">
        <v>19</v>
      </c>
      <c r="E60" s="31" t="s">
        <v>543</v>
      </c>
      <c r="F60" s="32">
        <v>1</v>
      </c>
      <c r="G60" s="11">
        <v>1</v>
      </c>
      <c r="H60" s="11">
        <v>1</v>
      </c>
      <c r="I60" s="13">
        <f t="shared" si="3"/>
        <v>0</v>
      </c>
      <c r="O60" s="16">
        <f t="shared" si="0"/>
        <v>0</v>
      </c>
      <c r="P60" s="17">
        <f t="shared" si="1"/>
        <v>0</v>
      </c>
      <c r="Q60" s="18">
        <f t="shared" si="2"/>
        <v>0</v>
      </c>
    </row>
    <row r="61" spans="1:30" s="3" customFormat="1" x14ac:dyDescent="0.25">
      <c r="A61" s="21" t="s">
        <v>131</v>
      </c>
      <c r="B61" s="33" t="s">
        <v>132</v>
      </c>
      <c r="C61" s="34" t="s">
        <v>102</v>
      </c>
      <c r="D61" s="35" t="s">
        <v>19</v>
      </c>
      <c r="E61" s="31" t="s">
        <v>542</v>
      </c>
      <c r="F61" s="32">
        <v>8</v>
      </c>
      <c r="G61" s="11">
        <v>8</v>
      </c>
      <c r="H61" s="11">
        <v>8</v>
      </c>
      <c r="I61" s="13">
        <f t="shared" si="3"/>
        <v>0</v>
      </c>
      <c r="O61" s="16">
        <f t="shared" si="0"/>
        <v>0</v>
      </c>
      <c r="P61" s="17">
        <f t="shared" si="1"/>
        <v>0</v>
      </c>
      <c r="Q61" s="18">
        <f t="shared" si="2"/>
        <v>0</v>
      </c>
    </row>
    <row r="62" spans="1:30" s="3" customFormat="1" x14ac:dyDescent="0.25">
      <c r="A62" s="21" t="s">
        <v>133</v>
      </c>
      <c r="B62" s="33" t="s">
        <v>134</v>
      </c>
      <c r="C62" s="34" t="s">
        <v>102</v>
      </c>
      <c r="D62" s="35" t="s">
        <v>19</v>
      </c>
      <c r="E62" s="31" t="s">
        <v>543</v>
      </c>
      <c r="F62" s="32">
        <v>6</v>
      </c>
      <c r="G62" s="11">
        <v>6</v>
      </c>
      <c r="H62" s="11">
        <v>6</v>
      </c>
      <c r="I62" s="13">
        <f t="shared" si="3"/>
        <v>0</v>
      </c>
      <c r="O62" s="16">
        <f t="shared" si="0"/>
        <v>0</v>
      </c>
      <c r="P62" s="17">
        <f t="shared" si="1"/>
        <v>0</v>
      </c>
      <c r="Q62" s="18">
        <f t="shared" si="2"/>
        <v>0</v>
      </c>
    </row>
    <row r="63" spans="1:30" s="3" customFormat="1" x14ac:dyDescent="0.25">
      <c r="A63" s="21" t="s">
        <v>135</v>
      </c>
      <c r="B63" s="33" t="s">
        <v>136</v>
      </c>
      <c r="C63" s="34" t="s">
        <v>102</v>
      </c>
      <c r="D63" s="35" t="s">
        <v>19</v>
      </c>
      <c r="E63" s="31" t="s">
        <v>543</v>
      </c>
      <c r="F63" s="32">
        <v>3</v>
      </c>
      <c r="G63" s="11">
        <v>3</v>
      </c>
      <c r="H63" s="11">
        <v>1</v>
      </c>
      <c r="I63" s="13">
        <f t="shared" si="3"/>
        <v>2</v>
      </c>
      <c r="O63" s="16">
        <f t="shared" si="0"/>
        <v>2</v>
      </c>
      <c r="P63" s="17">
        <f t="shared" si="1"/>
        <v>0</v>
      </c>
      <c r="Q63" s="18">
        <f t="shared" si="2"/>
        <v>2</v>
      </c>
      <c r="R63" s="48">
        <v>2</v>
      </c>
    </row>
    <row r="64" spans="1:30" s="3" customFormat="1" x14ac:dyDescent="0.25">
      <c r="A64" s="21" t="s">
        <v>137</v>
      </c>
      <c r="B64" s="33" t="s">
        <v>138</v>
      </c>
      <c r="C64" s="34" t="s">
        <v>6</v>
      </c>
      <c r="D64" s="35" t="s">
        <v>19</v>
      </c>
      <c r="E64" s="31" t="s">
        <v>540</v>
      </c>
      <c r="F64" s="32">
        <v>1</v>
      </c>
      <c r="G64" s="11">
        <v>1</v>
      </c>
      <c r="H64" s="11"/>
      <c r="I64" s="13">
        <f t="shared" si="3"/>
        <v>1</v>
      </c>
      <c r="O64" s="16">
        <f t="shared" si="0"/>
        <v>1</v>
      </c>
      <c r="P64" s="17">
        <f t="shared" si="1"/>
        <v>0</v>
      </c>
      <c r="Q64" s="18">
        <f t="shared" si="2"/>
        <v>1</v>
      </c>
      <c r="W64" s="49">
        <v>1</v>
      </c>
    </row>
    <row r="65" spans="1:30" s="3" customFormat="1" x14ac:dyDescent="0.25">
      <c r="A65" s="21" t="s">
        <v>139</v>
      </c>
      <c r="B65" s="33" t="s">
        <v>140</v>
      </c>
      <c r="C65" s="34" t="s">
        <v>6</v>
      </c>
      <c r="D65" s="35" t="s">
        <v>19</v>
      </c>
      <c r="E65" s="31" t="s">
        <v>540</v>
      </c>
      <c r="F65" s="32">
        <v>16</v>
      </c>
      <c r="G65" s="11">
        <v>16</v>
      </c>
      <c r="H65" s="11"/>
      <c r="I65" s="13">
        <v>0</v>
      </c>
      <c r="O65" s="16">
        <f t="shared" si="0"/>
        <v>0</v>
      </c>
      <c r="P65" s="17">
        <f t="shared" si="1"/>
        <v>0</v>
      </c>
      <c r="Q65" s="18">
        <f t="shared" si="2"/>
        <v>0</v>
      </c>
    </row>
    <row r="66" spans="1:30" s="3" customFormat="1" x14ac:dyDescent="0.25">
      <c r="A66" s="21" t="s">
        <v>141</v>
      </c>
      <c r="B66" s="33" t="s">
        <v>142</v>
      </c>
      <c r="C66" s="34" t="s">
        <v>102</v>
      </c>
      <c r="D66" s="35" t="s">
        <v>19</v>
      </c>
      <c r="E66" s="31" t="s">
        <v>542</v>
      </c>
      <c r="F66" s="32">
        <v>1</v>
      </c>
      <c r="G66" s="11">
        <v>2</v>
      </c>
      <c r="H66" s="11"/>
      <c r="I66" s="13">
        <f t="shared" si="3"/>
        <v>2</v>
      </c>
      <c r="O66" s="16">
        <f t="shared" si="0"/>
        <v>2</v>
      </c>
      <c r="P66" s="17">
        <f t="shared" si="1"/>
        <v>0</v>
      </c>
      <c r="Q66" s="18">
        <f t="shared" si="2"/>
        <v>2</v>
      </c>
      <c r="R66" s="48">
        <v>2</v>
      </c>
    </row>
    <row r="67" spans="1:30" s="3" customFormat="1" x14ac:dyDescent="0.25">
      <c r="A67" s="21" t="s">
        <v>143</v>
      </c>
      <c r="B67" s="33" t="s">
        <v>144</v>
      </c>
      <c r="C67" s="34" t="s">
        <v>102</v>
      </c>
      <c r="D67" s="35" t="s">
        <v>19</v>
      </c>
      <c r="E67" s="31" t="s">
        <v>542</v>
      </c>
      <c r="F67" s="32">
        <v>1</v>
      </c>
      <c r="G67" s="11">
        <v>1</v>
      </c>
      <c r="H67" s="11">
        <v>1</v>
      </c>
      <c r="I67" s="13">
        <f t="shared" si="3"/>
        <v>0</v>
      </c>
      <c r="O67" s="16">
        <f t="shared" si="0"/>
        <v>0</v>
      </c>
      <c r="P67" s="17">
        <f t="shared" si="1"/>
        <v>0</v>
      </c>
      <c r="Q67" s="18">
        <f t="shared" si="2"/>
        <v>0</v>
      </c>
    </row>
    <row r="68" spans="1:30" s="3" customFormat="1" x14ac:dyDescent="0.25">
      <c r="A68" s="21" t="s">
        <v>145</v>
      </c>
      <c r="B68" s="33" t="s">
        <v>146</v>
      </c>
      <c r="C68" s="34" t="s">
        <v>102</v>
      </c>
      <c r="D68" s="35" t="s">
        <v>19</v>
      </c>
      <c r="E68" s="31" t="s">
        <v>542</v>
      </c>
      <c r="F68" s="32">
        <v>12</v>
      </c>
      <c r="G68" s="11">
        <v>12</v>
      </c>
      <c r="H68" s="11"/>
      <c r="I68" s="13">
        <f t="shared" si="3"/>
        <v>12</v>
      </c>
      <c r="O68" s="16">
        <f t="shared" ref="O68:O131" si="4">SUM(I68:N68)</f>
        <v>12</v>
      </c>
      <c r="P68" s="17">
        <f t="shared" si="1"/>
        <v>0</v>
      </c>
      <c r="Q68" s="18">
        <f t="shared" si="2"/>
        <v>12</v>
      </c>
      <c r="R68" s="48">
        <v>12</v>
      </c>
    </row>
    <row r="69" spans="1:30" s="3" customFormat="1" x14ac:dyDescent="0.25">
      <c r="A69" s="21" t="s">
        <v>147</v>
      </c>
      <c r="B69" s="33" t="s">
        <v>148</v>
      </c>
      <c r="C69" s="34" t="s">
        <v>102</v>
      </c>
      <c r="D69" s="35" t="s">
        <v>19</v>
      </c>
      <c r="E69" s="31" t="s">
        <v>543</v>
      </c>
      <c r="F69" s="32">
        <v>1</v>
      </c>
      <c r="G69" s="11">
        <v>1</v>
      </c>
      <c r="H69" s="11">
        <v>1</v>
      </c>
      <c r="I69" s="13">
        <f t="shared" si="3"/>
        <v>0</v>
      </c>
      <c r="O69" s="16">
        <f t="shared" si="4"/>
        <v>0</v>
      </c>
      <c r="P69" s="17">
        <f t="shared" ref="P69:P132" si="5">+Q69-O69</f>
        <v>0</v>
      </c>
      <c r="Q69" s="18">
        <f t="shared" ref="Q69:Q132" si="6">SUM(R69:EF69)</f>
        <v>0</v>
      </c>
    </row>
    <row r="70" spans="1:30" s="3" customFormat="1" x14ac:dyDescent="0.25">
      <c r="A70" s="21" t="s">
        <v>149</v>
      </c>
      <c r="B70" s="33" t="s">
        <v>150</v>
      </c>
      <c r="C70" s="34" t="s">
        <v>102</v>
      </c>
      <c r="D70" s="35" t="s">
        <v>19</v>
      </c>
      <c r="E70" s="31" t="s">
        <v>543</v>
      </c>
      <c r="F70" s="32">
        <v>1</v>
      </c>
      <c r="G70" s="11">
        <v>2</v>
      </c>
      <c r="H70" s="11"/>
      <c r="I70" s="13">
        <f t="shared" ref="I70:I133" si="7">+G70-H70</f>
        <v>2</v>
      </c>
      <c r="O70" s="16">
        <f t="shared" si="4"/>
        <v>2</v>
      </c>
      <c r="P70" s="17">
        <f t="shared" si="5"/>
        <v>0</v>
      </c>
      <c r="Q70" s="18">
        <f t="shared" si="6"/>
        <v>2</v>
      </c>
      <c r="R70" s="48">
        <v>2</v>
      </c>
    </row>
    <row r="71" spans="1:30" s="3" customFormat="1" x14ac:dyDescent="0.25">
      <c r="A71" s="21" t="s">
        <v>151</v>
      </c>
      <c r="B71" s="33" t="s">
        <v>152</v>
      </c>
      <c r="C71" s="34" t="s">
        <v>102</v>
      </c>
      <c r="D71" s="35" t="s">
        <v>19</v>
      </c>
      <c r="E71" s="31" t="s">
        <v>543</v>
      </c>
      <c r="F71" s="32">
        <v>2</v>
      </c>
      <c r="G71" s="11">
        <v>2</v>
      </c>
      <c r="H71" s="11">
        <v>2</v>
      </c>
      <c r="I71" s="13">
        <f t="shared" si="7"/>
        <v>0</v>
      </c>
      <c r="O71" s="16">
        <f t="shared" si="4"/>
        <v>0</v>
      </c>
      <c r="P71" s="17">
        <f t="shared" si="5"/>
        <v>0</v>
      </c>
      <c r="Q71" s="18">
        <f t="shared" si="6"/>
        <v>0</v>
      </c>
    </row>
    <row r="72" spans="1:30" s="3" customFormat="1" x14ac:dyDescent="0.25">
      <c r="A72" s="21" t="s">
        <v>153</v>
      </c>
      <c r="B72" s="33" t="s">
        <v>154</v>
      </c>
      <c r="C72" s="34" t="s">
        <v>102</v>
      </c>
      <c r="D72" s="35" t="s">
        <v>19</v>
      </c>
      <c r="E72" s="31" t="s">
        <v>543</v>
      </c>
      <c r="F72" s="32">
        <v>2</v>
      </c>
      <c r="G72" s="11">
        <v>2</v>
      </c>
      <c r="H72" s="11"/>
      <c r="I72" s="13">
        <f t="shared" si="7"/>
        <v>2</v>
      </c>
      <c r="O72" s="16">
        <f t="shared" si="4"/>
        <v>2</v>
      </c>
      <c r="P72" s="17">
        <f t="shared" si="5"/>
        <v>0</v>
      </c>
      <c r="Q72" s="18">
        <f t="shared" si="6"/>
        <v>2</v>
      </c>
      <c r="R72" s="48">
        <v>2</v>
      </c>
    </row>
    <row r="73" spans="1:30" s="3" customFormat="1" x14ac:dyDescent="0.25">
      <c r="A73" s="21" t="s">
        <v>155</v>
      </c>
      <c r="B73" s="33" t="s">
        <v>156</v>
      </c>
      <c r="C73" s="34" t="s">
        <v>102</v>
      </c>
      <c r="D73" s="35" t="s">
        <v>19</v>
      </c>
      <c r="E73" s="31" t="s">
        <v>542</v>
      </c>
      <c r="F73" s="32">
        <v>30</v>
      </c>
      <c r="G73" s="11">
        <v>32</v>
      </c>
      <c r="H73" s="11"/>
      <c r="I73" s="13">
        <f t="shared" si="7"/>
        <v>32</v>
      </c>
      <c r="O73" s="16">
        <f t="shared" si="4"/>
        <v>32</v>
      </c>
      <c r="P73" s="17">
        <f t="shared" si="5"/>
        <v>0</v>
      </c>
      <c r="Q73" s="18">
        <f t="shared" si="6"/>
        <v>32</v>
      </c>
      <c r="R73" s="48">
        <v>32</v>
      </c>
    </row>
    <row r="74" spans="1:30" s="3" customFormat="1" x14ac:dyDescent="0.25">
      <c r="A74" s="21" t="s">
        <v>157</v>
      </c>
      <c r="B74" s="33" t="s">
        <v>158</v>
      </c>
      <c r="C74" s="34" t="s">
        <v>102</v>
      </c>
      <c r="D74" s="35" t="s">
        <v>19</v>
      </c>
      <c r="E74" s="31" t="s">
        <v>542</v>
      </c>
      <c r="F74" s="32">
        <v>39</v>
      </c>
      <c r="G74" s="11">
        <v>42</v>
      </c>
      <c r="H74" s="11"/>
      <c r="I74" s="13">
        <f t="shared" si="7"/>
        <v>42</v>
      </c>
      <c r="O74" s="16">
        <f t="shared" si="4"/>
        <v>42</v>
      </c>
      <c r="P74" s="17">
        <f t="shared" si="5"/>
        <v>0</v>
      </c>
      <c r="Q74" s="18">
        <f t="shared" si="6"/>
        <v>42</v>
      </c>
      <c r="T74" s="48">
        <v>42</v>
      </c>
    </row>
    <row r="75" spans="1:30" s="3" customFormat="1" x14ac:dyDescent="0.25">
      <c r="A75" s="21" t="s">
        <v>159</v>
      </c>
      <c r="B75" s="33" t="s">
        <v>160</v>
      </c>
      <c r="C75" s="34" t="s">
        <v>102</v>
      </c>
      <c r="D75" s="35" t="s">
        <v>19</v>
      </c>
      <c r="E75" s="31" t="s">
        <v>542</v>
      </c>
      <c r="F75" s="32">
        <v>1</v>
      </c>
      <c r="G75" s="11">
        <v>1</v>
      </c>
      <c r="H75" s="11"/>
      <c r="I75" s="13">
        <f t="shared" si="7"/>
        <v>1</v>
      </c>
      <c r="O75" s="16">
        <f t="shared" si="4"/>
        <v>1</v>
      </c>
      <c r="P75" s="17">
        <f t="shared" si="5"/>
        <v>0</v>
      </c>
      <c r="Q75" s="18">
        <f t="shared" si="6"/>
        <v>1</v>
      </c>
      <c r="R75" s="48">
        <v>1</v>
      </c>
    </row>
    <row r="76" spans="1:30" s="3" customFormat="1" ht="33" x14ac:dyDescent="0.25">
      <c r="A76" s="21" t="s">
        <v>161</v>
      </c>
      <c r="B76" s="33" t="s">
        <v>162</v>
      </c>
      <c r="C76" s="34" t="s">
        <v>102</v>
      </c>
      <c r="D76" s="35" t="s">
        <v>19</v>
      </c>
      <c r="E76" s="31" t="s">
        <v>542</v>
      </c>
      <c r="F76" s="32">
        <v>11</v>
      </c>
      <c r="G76" s="11">
        <v>14</v>
      </c>
      <c r="H76" s="11"/>
      <c r="I76" s="13">
        <f t="shared" si="7"/>
        <v>14</v>
      </c>
      <c r="J76" s="3">
        <v>1</v>
      </c>
      <c r="O76" s="16">
        <f t="shared" si="4"/>
        <v>15</v>
      </c>
      <c r="P76" s="17">
        <f t="shared" si="5"/>
        <v>0</v>
      </c>
      <c r="Q76" s="18">
        <f t="shared" si="6"/>
        <v>15</v>
      </c>
      <c r="R76" s="48">
        <v>14</v>
      </c>
      <c r="AD76" s="3">
        <v>1</v>
      </c>
    </row>
    <row r="77" spans="1:30" s="3" customFormat="1" x14ac:dyDescent="0.25">
      <c r="A77" s="21" t="s">
        <v>163</v>
      </c>
      <c r="B77" s="33" t="s">
        <v>164</v>
      </c>
      <c r="C77" s="34" t="s">
        <v>102</v>
      </c>
      <c r="D77" s="35" t="s">
        <v>19</v>
      </c>
      <c r="E77" s="31" t="s">
        <v>543</v>
      </c>
      <c r="F77" s="32">
        <v>7</v>
      </c>
      <c r="G77" s="11">
        <v>7</v>
      </c>
      <c r="H77" s="11">
        <v>7</v>
      </c>
      <c r="I77" s="13">
        <f t="shared" si="7"/>
        <v>0</v>
      </c>
      <c r="O77" s="16">
        <f t="shared" si="4"/>
        <v>0</v>
      </c>
      <c r="P77" s="17">
        <f t="shared" si="5"/>
        <v>0</v>
      </c>
      <c r="Q77" s="18">
        <f t="shared" si="6"/>
        <v>0</v>
      </c>
    </row>
    <row r="78" spans="1:30" s="3" customFormat="1" x14ac:dyDescent="0.25">
      <c r="A78" s="21" t="s">
        <v>165</v>
      </c>
      <c r="B78" s="33" t="s">
        <v>166</v>
      </c>
      <c r="C78" s="34" t="s">
        <v>102</v>
      </c>
      <c r="D78" s="35" t="s">
        <v>19</v>
      </c>
      <c r="E78" s="31" t="s">
        <v>542</v>
      </c>
      <c r="F78" s="32">
        <v>4</v>
      </c>
      <c r="G78" s="11">
        <v>4</v>
      </c>
      <c r="H78" s="11"/>
      <c r="I78" s="13">
        <f t="shared" si="7"/>
        <v>4</v>
      </c>
      <c r="O78" s="16">
        <f t="shared" si="4"/>
        <v>4</v>
      </c>
      <c r="P78" s="17">
        <f t="shared" si="5"/>
        <v>0</v>
      </c>
      <c r="Q78" s="18">
        <f t="shared" si="6"/>
        <v>4</v>
      </c>
      <c r="R78" s="48">
        <v>4</v>
      </c>
    </row>
    <row r="79" spans="1:30" s="3" customFormat="1" x14ac:dyDescent="0.25">
      <c r="A79" s="21" t="s">
        <v>167</v>
      </c>
      <c r="B79" s="33" t="s">
        <v>168</v>
      </c>
      <c r="C79" s="34" t="s">
        <v>102</v>
      </c>
      <c r="D79" s="35" t="s">
        <v>19</v>
      </c>
      <c r="E79" s="31" t="s">
        <v>543</v>
      </c>
      <c r="F79" s="32">
        <v>3</v>
      </c>
      <c r="G79" s="11">
        <v>3</v>
      </c>
      <c r="H79" s="11">
        <v>2</v>
      </c>
      <c r="I79" s="13">
        <f t="shared" si="7"/>
        <v>1</v>
      </c>
      <c r="O79" s="16">
        <f t="shared" si="4"/>
        <v>1</v>
      </c>
      <c r="P79" s="17">
        <f t="shared" si="5"/>
        <v>0</v>
      </c>
      <c r="Q79" s="18">
        <f t="shared" si="6"/>
        <v>1</v>
      </c>
      <c r="R79" s="48">
        <v>1</v>
      </c>
    </row>
    <row r="80" spans="1:30" s="3" customFormat="1" x14ac:dyDescent="0.25">
      <c r="A80" s="21" t="s">
        <v>169</v>
      </c>
      <c r="B80" s="33" t="s">
        <v>170</v>
      </c>
      <c r="C80" s="34" t="s">
        <v>102</v>
      </c>
      <c r="D80" s="35" t="s">
        <v>19</v>
      </c>
      <c r="E80" s="31" t="s">
        <v>543</v>
      </c>
      <c r="F80" s="32">
        <v>10</v>
      </c>
      <c r="G80" s="11">
        <v>10</v>
      </c>
      <c r="H80" s="11">
        <v>10</v>
      </c>
      <c r="I80" s="13">
        <f t="shared" si="7"/>
        <v>0</v>
      </c>
      <c r="O80" s="16">
        <f t="shared" si="4"/>
        <v>0</v>
      </c>
      <c r="P80" s="17">
        <f t="shared" si="5"/>
        <v>0</v>
      </c>
      <c r="Q80" s="18">
        <f t="shared" si="6"/>
        <v>0</v>
      </c>
    </row>
    <row r="81" spans="1:30" s="3" customFormat="1" x14ac:dyDescent="0.25">
      <c r="A81" s="21" t="s">
        <v>171</v>
      </c>
      <c r="B81" s="33" t="s">
        <v>172</v>
      </c>
      <c r="C81" s="34" t="s">
        <v>102</v>
      </c>
      <c r="D81" s="35" t="s">
        <v>19</v>
      </c>
      <c r="E81" s="31" t="s">
        <v>543</v>
      </c>
      <c r="F81" s="32">
        <v>1</v>
      </c>
      <c r="G81" s="11">
        <v>1</v>
      </c>
      <c r="H81" s="11">
        <v>1</v>
      </c>
      <c r="I81" s="13">
        <f t="shared" si="7"/>
        <v>0</v>
      </c>
      <c r="O81" s="16">
        <f t="shared" si="4"/>
        <v>0</v>
      </c>
      <c r="P81" s="17">
        <f t="shared" si="5"/>
        <v>0</v>
      </c>
      <c r="Q81" s="18">
        <f t="shared" si="6"/>
        <v>0</v>
      </c>
    </row>
    <row r="82" spans="1:30" s="3" customFormat="1" x14ac:dyDescent="0.25">
      <c r="A82" s="21" t="s">
        <v>173</v>
      </c>
      <c r="B82" s="33" t="s">
        <v>174</v>
      </c>
      <c r="C82" s="34" t="s">
        <v>102</v>
      </c>
      <c r="D82" s="35" t="s">
        <v>19</v>
      </c>
      <c r="E82" s="31" t="s">
        <v>543</v>
      </c>
      <c r="F82" s="32">
        <v>4</v>
      </c>
      <c r="G82" s="11">
        <v>4</v>
      </c>
      <c r="H82" s="11">
        <v>4</v>
      </c>
      <c r="I82" s="13">
        <f t="shared" si="7"/>
        <v>0</v>
      </c>
      <c r="O82" s="16">
        <f t="shared" si="4"/>
        <v>0</v>
      </c>
      <c r="P82" s="17">
        <f t="shared" si="5"/>
        <v>0</v>
      </c>
      <c r="Q82" s="18">
        <f t="shared" si="6"/>
        <v>0</v>
      </c>
    </row>
    <row r="83" spans="1:30" s="3" customFormat="1" x14ac:dyDescent="0.25">
      <c r="A83" s="21" t="s">
        <v>175</v>
      </c>
      <c r="B83" s="33" t="s">
        <v>176</v>
      </c>
      <c r="C83" s="34" t="s">
        <v>102</v>
      </c>
      <c r="D83" s="35" t="s">
        <v>19</v>
      </c>
      <c r="E83" s="31" t="s">
        <v>543</v>
      </c>
      <c r="F83" s="32">
        <v>1</v>
      </c>
      <c r="G83" s="11">
        <v>1</v>
      </c>
      <c r="H83" s="11">
        <v>1</v>
      </c>
      <c r="I83" s="13">
        <f t="shared" si="7"/>
        <v>0</v>
      </c>
      <c r="O83" s="16">
        <f t="shared" si="4"/>
        <v>0</v>
      </c>
      <c r="P83" s="17">
        <f t="shared" si="5"/>
        <v>0</v>
      </c>
      <c r="Q83" s="18">
        <f t="shared" si="6"/>
        <v>0</v>
      </c>
    </row>
    <row r="84" spans="1:30" s="3" customFormat="1" x14ac:dyDescent="0.25">
      <c r="A84" s="21" t="s">
        <v>177</v>
      </c>
      <c r="B84" s="33" t="s">
        <v>178</v>
      </c>
      <c r="C84" s="34" t="s">
        <v>6</v>
      </c>
      <c r="D84" s="35" t="s">
        <v>19</v>
      </c>
      <c r="E84" s="31" t="s">
        <v>540</v>
      </c>
      <c r="F84" s="32">
        <v>1</v>
      </c>
      <c r="G84" s="11">
        <v>1</v>
      </c>
      <c r="H84" s="11"/>
      <c r="I84" s="13">
        <f t="shared" si="7"/>
        <v>1</v>
      </c>
      <c r="O84" s="16">
        <f t="shared" si="4"/>
        <v>1</v>
      </c>
      <c r="P84" s="17">
        <f t="shared" si="5"/>
        <v>0</v>
      </c>
      <c r="Q84" s="18">
        <f t="shared" si="6"/>
        <v>1</v>
      </c>
      <c r="W84" s="49">
        <v>1</v>
      </c>
    </row>
    <row r="85" spans="1:30" s="3" customFormat="1" x14ac:dyDescent="0.25">
      <c r="A85" s="21">
        <v>3.5</v>
      </c>
      <c r="B85" s="36" t="s">
        <v>179</v>
      </c>
      <c r="C85" s="34"/>
      <c r="D85" s="35"/>
      <c r="E85" s="31"/>
      <c r="F85" s="32"/>
      <c r="G85" s="11"/>
      <c r="H85" s="11"/>
      <c r="I85" s="13">
        <f t="shared" si="7"/>
        <v>0</v>
      </c>
      <c r="O85" s="16">
        <f t="shared" si="4"/>
        <v>0</v>
      </c>
      <c r="P85" s="17">
        <f t="shared" si="5"/>
        <v>0</v>
      </c>
      <c r="Q85" s="18">
        <f t="shared" si="6"/>
        <v>0</v>
      </c>
    </row>
    <row r="86" spans="1:30" s="3" customFormat="1" x14ac:dyDescent="0.25">
      <c r="A86" s="21" t="s">
        <v>180</v>
      </c>
      <c r="B86" s="33" t="s">
        <v>181</v>
      </c>
      <c r="C86" s="34" t="s">
        <v>6</v>
      </c>
      <c r="D86" s="35" t="s">
        <v>19</v>
      </c>
      <c r="E86" s="31" t="s">
        <v>540</v>
      </c>
      <c r="F86" s="32">
        <v>28</v>
      </c>
      <c r="G86" s="11">
        <v>31</v>
      </c>
      <c r="H86" s="11">
        <v>13</v>
      </c>
      <c r="I86" s="13">
        <f t="shared" si="7"/>
        <v>18</v>
      </c>
      <c r="O86" s="16">
        <f t="shared" si="4"/>
        <v>18</v>
      </c>
      <c r="P86" s="17">
        <f t="shared" si="5"/>
        <v>0</v>
      </c>
      <c r="Q86" s="18">
        <f t="shared" si="6"/>
        <v>18</v>
      </c>
      <c r="W86" s="48">
        <v>18</v>
      </c>
    </row>
    <row r="87" spans="1:30" s="3" customFormat="1" x14ac:dyDescent="0.25">
      <c r="A87" s="21" t="s">
        <v>182</v>
      </c>
      <c r="B87" s="33" t="s">
        <v>183</v>
      </c>
      <c r="C87" s="34" t="s">
        <v>52</v>
      </c>
      <c r="D87" s="35" t="s">
        <v>19</v>
      </c>
      <c r="E87" s="31" t="s">
        <v>540</v>
      </c>
      <c r="F87" s="32">
        <v>15</v>
      </c>
      <c r="G87" s="11">
        <v>15</v>
      </c>
      <c r="H87" s="11"/>
      <c r="I87" s="13">
        <f t="shared" si="7"/>
        <v>15</v>
      </c>
      <c r="O87" s="16">
        <f t="shared" si="4"/>
        <v>15</v>
      </c>
      <c r="P87" s="17">
        <f t="shared" si="5"/>
        <v>0</v>
      </c>
      <c r="Q87" s="18">
        <f t="shared" si="6"/>
        <v>15</v>
      </c>
      <c r="AA87" s="49">
        <v>15</v>
      </c>
    </row>
    <row r="88" spans="1:30" s="3" customFormat="1" x14ac:dyDescent="0.25">
      <c r="A88" s="21" t="s">
        <v>184</v>
      </c>
      <c r="B88" s="33" t="s">
        <v>185</v>
      </c>
      <c r="C88" s="34" t="s">
        <v>186</v>
      </c>
      <c r="D88" s="35" t="s">
        <v>19</v>
      </c>
      <c r="E88" s="31" t="s">
        <v>540</v>
      </c>
      <c r="F88" s="32">
        <v>46</v>
      </c>
      <c r="G88" s="11">
        <v>49</v>
      </c>
      <c r="H88" s="11">
        <v>9</v>
      </c>
      <c r="I88" s="13">
        <f t="shared" si="7"/>
        <v>40</v>
      </c>
      <c r="O88" s="16">
        <f t="shared" si="4"/>
        <v>40</v>
      </c>
      <c r="P88" s="17">
        <f t="shared" si="5"/>
        <v>0</v>
      </c>
      <c r="Q88" s="18">
        <f t="shared" si="6"/>
        <v>40</v>
      </c>
      <c r="W88" s="48">
        <v>40</v>
      </c>
    </row>
    <row r="89" spans="1:30" s="3" customFormat="1" x14ac:dyDescent="0.25">
      <c r="A89" s="21" t="s">
        <v>187</v>
      </c>
      <c r="B89" s="33" t="s">
        <v>188</v>
      </c>
      <c r="C89" s="34" t="s">
        <v>189</v>
      </c>
      <c r="D89" s="35" t="s">
        <v>19</v>
      </c>
      <c r="E89" s="31" t="s">
        <v>540</v>
      </c>
      <c r="F89" s="32">
        <v>1</v>
      </c>
      <c r="G89" s="11">
        <v>1</v>
      </c>
      <c r="H89" s="11"/>
      <c r="I89" s="13">
        <f t="shared" si="7"/>
        <v>1</v>
      </c>
      <c r="O89" s="16">
        <f t="shared" si="4"/>
        <v>1</v>
      </c>
      <c r="P89" s="17">
        <f t="shared" si="5"/>
        <v>0</v>
      </c>
      <c r="Q89" s="18">
        <f t="shared" si="6"/>
        <v>1</v>
      </c>
      <c r="R89" s="48">
        <v>1</v>
      </c>
    </row>
    <row r="90" spans="1:30" s="3" customFormat="1" x14ac:dyDescent="0.25">
      <c r="A90" s="21" t="s">
        <v>190</v>
      </c>
      <c r="B90" s="33" t="s">
        <v>191</v>
      </c>
      <c r="C90" s="34" t="s">
        <v>52</v>
      </c>
      <c r="D90" s="35" t="s">
        <v>19</v>
      </c>
      <c r="E90" s="31" t="s">
        <v>540</v>
      </c>
      <c r="F90" s="32">
        <v>8</v>
      </c>
      <c r="G90" s="11">
        <v>8</v>
      </c>
      <c r="H90" s="11"/>
      <c r="I90" s="13">
        <f t="shared" si="7"/>
        <v>8</v>
      </c>
      <c r="O90" s="16">
        <f t="shared" si="4"/>
        <v>8</v>
      </c>
      <c r="P90" s="17">
        <f t="shared" si="5"/>
        <v>0</v>
      </c>
      <c r="Q90" s="18">
        <f t="shared" si="6"/>
        <v>8</v>
      </c>
      <c r="AA90" s="49">
        <v>8</v>
      </c>
    </row>
    <row r="91" spans="1:30" s="3" customFormat="1" x14ac:dyDescent="0.25">
      <c r="A91" s="21" t="s">
        <v>192</v>
      </c>
      <c r="B91" s="33" t="s">
        <v>193</v>
      </c>
      <c r="C91" s="34" t="s">
        <v>6</v>
      </c>
      <c r="D91" s="35" t="s">
        <v>19</v>
      </c>
      <c r="E91" s="31" t="s">
        <v>540</v>
      </c>
      <c r="F91" s="32">
        <v>60</v>
      </c>
      <c r="G91" s="11">
        <v>64</v>
      </c>
      <c r="H91" s="11">
        <v>23</v>
      </c>
      <c r="I91" s="13">
        <f t="shared" si="7"/>
        <v>41</v>
      </c>
      <c r="O91" s="16">
        <f t="shared" si="4"/>
        <v>41</v>
      </c>
      <c r="P91" s="17">
        <f t="shared" si="5"/>
        <v>0</v>
      </c>
      <c r="Q91" s="18">
        <f t="shared" si="6"/>
        <v>41</v>
      </c>
      <c r="W91" s="48">
        <v>41</v>
      </c>
    </row>
    <row r="92" spans="1:30" s="3" customFormat="1" x14ac:dyDescent="0.25">
      <c r="A92" s="21" t="s">
        <v>194</v>
      </c>
      <c r="B92" s="33" t="s">
        <v>195</v>
      </c>
      <c r="C92" s="34" t="s">
        <v>52</v>
      </c>
      <c r="D92" s="35" t="s">
        <v>19</v>
      </c>
      <c r="E92" s="31" t="s">
        <v>540</v>
      </c>
      <c r="F92" s="32">
        <v>3</v>
      </c>
      <c r="G92" s="11">
        <v>3</v>
      </c>
      <c r="H92" s="11"/>
      <c r="I92" s="13">
        <f t="shared" si="7"/>
        <v>3</v>
      </c>
      <c r="O92" s="16">
        <f t="shared" si="4"/>
        <v>3</v>
      </c>
      <c r="P92" s="17">
        <f t="shared" si="5"/>
        <v>0</v>
      </c>
      <c r="Q92" s="18">
        <f t="shared" si="6"/>
        <v>3</v>
      </c>
      <c r="AA92" s="49">
        <v>3</v>
      </c>
    </row>
    <row r="93" spans="1:30" s="3" customFormat="1" x14ac:dyDescent="0.25">
      <c r="A93" s="21" t="s">
        <v>196</v>
      </c>
      <c r="B93" s="33" t="s">
        <v>197</v>
      </c>
      <c r="C93" s="34" t="s">
        <v>6</v>
      </c>
      <c r="D93" s="35" t="s">
        <v>19</v>
      </c>
      <c r="E93" s="31" t="s">
        <v>540</v>
      </c>
      <c r="F93" s="32">
        <v>21</v>
      </c>
      <c r="G93" s="11">
        <v>24</v>
      </c>
      <c r="H93" s="11"/>
      <c r="I93" s="13">
        <f t="shared" si="7"/>
        <v>24</v>
      </c>
      <c r="O93" s="16">
        <f t="shared" si="4"/>
        <v>24</v>
      </c>
      <c r="P93" s="17">
        <f t="shared" si="5"/>
        <v>0</v>
      </c>
      <c r="Q93" s="18">
        <f t="shared" si="6"/>
        <v>24</v>
      </c>
      <c r="W93" s="48">
        <v>24</v>
      </c>
    </row>
    <row r="94" spans="1:30" s="3" customFormat="1" x14ac:dyDescent="0.25">
      <c r="A94" s="21" t="s">
        <v>198</v>
      </c>
      <c r="B94" s="33" t="s">
        <v>199</v>
      </c>
      <c r="C94" s="34" t="s">
        <v>6</v>
      </c>
      <c r="D94" s="35" t="s">
        <v>19</v>
      </c>
      <c r="E94" s="31" t="s">
        <v>540</v>
      </c>
      <c r="F94" s="32">
        <v>81</v>
      </c>
      <c r="G94" s="11">
        <v>82</v>
      </c>
      <c r="H94" s="11">
        <v>11</v>
      </c>
      <c r="I94" s="13">
        <f t="shared" si="7"/>
        <v>71</v>
      </c>
      <c r="O94" s="16">
        <f t="shared" si="4"/>
        <v>71</v>
      </c>
      <c r="P94" s="17">
        <f t="shared" si="5"/>
        <v>0</v>
      </c>
      <c r="Q94" s="18">
        <f t="shared" si="6"/>
        <v>71</v>
      </c>
      <c r="W94" s="49">
        <v>71</v>
      </c>
    </row>
    <row r="95" spans="1:30" s="3" customFormat="1" x14ac:dyDescent="0.25">
      <c r="A95" s="21" t="s">
        <v>200</v>
      </c>
      <c r="B95" s="33" t="s">
        <v>201</v>
      </c>
      <c r="C95" s="34" t="s">
        <v>6</v>
      </c>
      <c r="D95" s="35" t="s">
        <v>19</v>
      </c>
      <c r="E95" s="31" t="s">
        <v>540</v>
      </c>
      <c r="F95" s="32">
        <v>84</v>
      </c>
      <c r="G95" s="11">
        <v>87</v>
      </c>
      <c r="H95" s="11">
        <v>6</v>
      </c>
      <c r="I95" s="13">
        <f t="shared" si="7"/>
        <v>81</v>
      </c>
      <c r="J95" s="3">
        <v>30</v>
      </c>
      <c r="O95" s="16">
        <f t="shared" si="4"/>
        <v>111</v>
      </c>
      <c r="P95" s="17">
        <f t="shared" si="5"/>
        <v>0</v>
      </c>
      <c r="Q95" s="18">
        <f t="shared" si="6"/>
        <v>111</v>
      </c>
      <c r="W95" s="48">
        <v>81</v>
      </c>
      <c r="AD95" s="49">
        <v>30</v>
      </c>
    </row>
    <row r="96" spans="1:30" s="3" customFormat="1" x14ac:dyDescent="0.25">
      <c r="A96" s="21" t="s">
        <v>202</v>
      </c>
      <c r="B96" s="33" t="s">
        <v>203</v>
      </c>
      <c r="C96" s="34" t="s">
        <v>6</v>
      </c>
      <c r="D96" s="35" t="s">
        <v>19</v>
      </c>
      <c r="E96" s="31" t="s">
        <v>540</v>
      </c>
      <c r="F96" s="32">
        <v>1</v>
      </c>
      <c r="G96" s="11">
        <v>1</v>
      </c>
      <c r="H96" s="11">
        <v>1</v>
      </c>
      <c r="I96" s="13">
        <f t="shared" si="7"/>
        <v>0</v>
      </c>
      <c r="O96" s="16">
        <f t="shared" si="4"/>
        <v>0</v>
      </c>
      <c r="P96" s="17">
        <f t="shared" si="5"/>
        <v>0</v>
      </c>
      <c r="Q96" s="18">
        <f t="shared" si="6"/>
        <v>0</v>
      </c>
    </row>
    <row r="97" spans="1:30" s="3" customFormat="1" x14ac:dyDescent="0.25">
      <c r="A97" s="21" t="s">
        <v>204</v>
      </c>
      <c r="B97" s="33" t="s">
        <v>205</v>
      </c>
      <c r="C97" s="34" t="s">
        <v>6</v>
      </c>
      <c r="D97" s="35" t="s">
        <v>19</v>
      </c>
      <c r="E97" s="31" t="s">
        <v>540</v>
      </c>
      <c r="F97" s="32">
        <v>17</v>
      </c>
      <c r="G97" s="11">
        <v>17</v>
      </c>
      <c r="H97" s="11">
        <v>17</v>
      </c>
      <c r="I97" s="13">
        <f t="shared" si="7"/>
        <v>0</v>
      </c>
      <c r="O97" s="16">
        <f t="shared" si="4"/>
        <v>0</v>
      </c>
      <c r="P97" s="17">
        <f t="shared" si="5"/>
        <v>0</v>
      </c>
      <c r="Q97" s="18">
        <f t="shared" si="6"/>
        <v>0</v>
      </c>
    </row>
    <row r="98" spans="1:30" s="3" customFormat="1" x14ac:dyDescent="0.25">
      <c r="A98" s="21" t="s">
        <v>206</v>
      </c>
      <c r="B98" s="33" t="s">
        <v>207</v>
      </c>
      <c r="C98" s="34" t="s">
        <v>6</v>
      </c>
      <c r="D98" s="35" t="s">
        <v>19</v>
      </c>
      <c r="E98" s="31" t="s">
        <v>540</v>
      </c>
      <c r="F98" s="32">
        <v>30</v>
      </c>
      <c r="G98" s="11">
        <v>30</v>
      </c>
      <c r="H98" s="11">
        <v>14</v>
      </c>
      <c r="I98" s="13">
        <f t="shared" si="7"/>
        <v>16</v>
      </c>
      <c r="O98" s="16">
        <f t="shared" si="4"/>
        <v>16</v>
      </c>
      <c r="P98" s="17">
        <f t="shared" si="5"/>
        <v>0</v>
      </c>
      <c r="Q98" s="18">
        <f t="shared" si="6"/>
        <v>16</v>
      </c>
      <c r="W98" s="48">
        <v>16</v>
      </c>
    </row>
    <row r="99" spans="1:30" s="3" customFormat="1" x14ac:dyDescent="0.25">
      <c r="A99" s="21" t="s">
        <v>208</v>
      </c>
      <c r="B99" s="33" t="s">
        <v>209</v>
      </c>
      <c r="C99" s="34" t="s">
        <v>6</v>
      </c>
      <c r="D99" s="35" t="s">
        <v>19</v>
      </c>
      <c r="E99" s="31" t="s">
        <v>540</v>
      </c>
      <c r="F99" s="32">
        <v>5</v>
      </c>
      <c r="G99" s="11">
        <v>5</v>
      </c>
      <c r="H99" s="11">
        <v>5</v>
      </c>
      <c r="I99" s="13">
        <f t="shared" si="7"/>
        <v>0</v>
      </c>
      <c r="O99" s="16">
        <f t="shared" si="4"/>
        <v>0</v>
      </c>
      <c r="P99" s="17">
        <f t="shared" si="5"/>
        <v>0</v>
      </c>
      <c r="Q99" s="18">
        <f t="shared" si="6"/>
        <v>0</v>
      </c>
    </row>
    <row r="100" spans="1:30" s="3" customFormat="1" x14ac:dyDescent="0.25">
      <c r="A100" s="21" t="s">
        <v>210</v>
      </c>
      <c r="B100" s="33" t="s">
        <v>211</v>
      </c>
      <c r="C100" s="34" t="s">
        <v>6</v>
      </c>
      <c r="D100" s="35" t="s">
        <v>19</v>
      </c>
      <c r="E100" s="31" t="s">
        <v>540</v>
      </c>
      <c r="F100" s="32">
        <v>7</v>
      </c>
      <c r="G100" s="11">
        <v>11</v>
      </c>
      <c r="H100" s="11"/>
      <c r="I100" s="13">
        <f t="shared" si="7"/>
        <v>11</v>
      </c>
      <c r="O100" s="16">
        <f t="shared" si="4"/>
        <v>11</v>
      </c>
      <c r="P100" s="17">
        <f t="shared" si="5"/>
        <v>0</v>
      </c>
      <c r="Q100" s="18">
        <f t="shared" si="6"/>
        <v>11</v>
      </c>
      <c r="W100" s="48">
        <v>11</v>
      </c>
    </row>
    <row r="101" spans="1:30" s="3" customFormat="1" x14ac:dyDescent="0.25">
      <c r="A101" s="21" t="s">
        <v>212</v>
      </c>
      <c r="B101" s="33" t="s">
        <v>213</v>
      </c>
      <c r="C101" s="34" t="s">
        <v>52</v>
      </c>
      <c r="D101" s="35" t="s">
        <v>19</v>
      </c>
      <c r="E101" s="31" t="s">
        <v>540</v>
      </c>
      <c r="F101" s="32">
        <v>6</v>
      </c>
      <c r="G101" s="11">
        <v>6</v>
      </c>
      <c r="H101" s="11">
        <v>4</v>
      </c>
      <c r="I101" s="13">
        <f t="shared" si="7"/>
        <v>2</v>
      </c>
      <c r="O101" s="16">
        <f t="shared" si="4"/>
        <v>2</v>
      </c>
      <c r="P101" s="17">
        <f t="shared" si="5"/>
        <v>0</v>
      </c>
      <c r="Q101" s="18">
        <f t="shared" si="6"/>
        <v>2</v>
      </c>
      <c r="AA101" s="49">
        <v>2</v>
      </c>
    </row>
    <row r="102" spans="1:30" s="3" customFormat="1" x14ac:dyDescent="0.25">
      <c r="A102" s="21" t="s">
        <v>214</v>
      </c>
      <c r="B102" s="33" t="s">
        <v>215</v>
      </c>
      <c r="C102" s="34" t="s">
        <v>6</v>
      </c>
      <c r="D102" s="35" t="s">
        <v>19</v>
      </c>
      <c r="E102" s="31" t="s">
        <v>540</v>
      </c>
      <c r="F102" s="32">
        <v>369</v>
      </c>
      <c r="G102" s="11">
        <v>421</v>
      </c>
      <c r="H102" s="11">
        <v>6</v>
      </c>
      <c r="I102" s="13">
        <f t="shared" si="7"/>
        <v>415</v>
      </c>
      <c r="J102" s="3">
        <v>3</v>
      </c>
      <c r="O102" s="16">
        <f t="shared" si="4"/>
        <v>418</v>
      </c>
      <c r="P102" s="17">
        <f t="shared" si="5"/>
        <v>0</v>
      </c>
      <c r="Q102" s="18">
        <f t="shared" si="6"/>
        <v>418</v>
      </c>
      <c r="W102" s="48">
        <v>415</v>
      </c>
      <c r="AD102" s="49">
        <v>3</v>
      </c>
    </row>
    <row r="103" spans="1:30" s="3" customFormat="1" x14ac:dyDescent="0.25">
      <c r="A103" s="21" t="s">
        <v>216</v>
      </c>
      <c r="B103" s="33" t="s">
        <v>217</v>
      </c>
      <c r="C103" s="34" t="s">
        <v>189</v>
      </c>
      <c r="D103" s="35" t="s">
        <v>19</v>
      </c>
      <c r="E103" s="31" t="s">
        <v>540</v>
      </c>
      <c r="F103" s="32">
        <v>24</v>
      </c>
      <c r="G103" s="11">
        <v>24</v>
      </c>
      <c r="H103" s="11"/>
      <c r="I103" s="13">
        <f t="shared" si="7"/>
        <v>24</v>
      </c>
      <c r="O103" s="16">
        <f t="shared" si="4"/>
        <v>24</v>
      </c>
      <c r="P103" s="17">
        <f t="shared" si="5"/>
        <v>0</v>
      </c>
      <c r="Q103" s="18">
        <f t="shared" si="6"/>
        <v>24</v>
      </c>
      <c r="R103" s="48">
        <v>24</v>
      </c>
    </row>
    <row r="104" spans="1:30" s="3" customFormat="1" x14ac:dyDescent="0.25">
      <c r="A104" s="21" t="s">
        <v>218</v>
      </c>
      <c r="B104" s="33" t="s">
        <v>219</v>
      </c>
      <c r="C104" s="34" t="s">
        <v>6</v>
      </c>
      <c r="D104" s="35" t="s">
        <v>19</v>
      </c>
      <c r="E104" s="31" t="s">
        <v>540</v>
      </c>
      <c r="F104" s="32">
        <v>52</v>
      </c>
      <c r="G104" s="11">
        <v>60</v>
      </c>
      <c r="H104" s="11">
        <v>9</v>
      </c>
      <c r="I104" s="13">
        <f t="shared" si="7"/>
        <v>51</v>
      </c>
      <c r="J104" s="3">
        <v>1</v>
      </c>
      <c r="O104" s="16">
        <f t="shared" si="4"/>
        <v>52</v>
      </c>
      <c r="P104" s="17">
        <f t="shared" si="5"/>
        <v>0</v>
      </c>
      <c r="Q104" s="18">
        <f t="shared" si="6"/>
        <v>52</v>
      </c>
      <c r="W104" s="49">
        <v>51</v>
      </c>
      <c r="AD104" s="49">
        <v>1</v>
      </c>
    </row>
    <row r="105" spans="1:30" s="3" customFormat="1" x14ac:dyDescent="0.25">
      <c r="A105" s="21" t="s">
        <v>220</v>
      </c>
      <c r="B105" s="33" t="s">
        <v>221</v>
      </c>
      <c r="C105" s="34" t="s">
        <v>52</v>
      </c>
      <c r="D105" s="35" t="s">
        <v>19</v>
      </c>
      <c r="E105" s="31" t="s">
        <v>540</v>
      </c>
      <c r="F105" s="32">
        <v>2</v>
      </c>
      <c r="G105" s="11">
        <v>2</v>
      </c>
      <c r="H105" s="11"/>
      <c r="I105" s="13">
        <f t="shared" si="7"/>
        <v>2</v>
      </c>
      <c r="O105" s="16">
        <f t="shared" si="4"/>
        <v>2</v>
      </c>
      <c r="P105" s="17">
        <f t="shared" si="5"/>
        <v>0</v>
      </c>
      <c r="Q105" s="18">
        <f t="shared" si="6"/>
        <v>2</v>
      </c>
      <c r="AA105" s="49">
        <v>2</v>
      </c>
    </row>
    <row r="106" spans="1:30" s="3" customFormat="1" x14ac:dyDescent="0.25">
      <c r="A106" s="21" t="s">
        <v>222</v>
      </c>
      <c r="B106" s="33" t="s">
        <v>223</v>
      </c>
      <c r="C106" s="34" t="s">
        <v>6</v>
      </c>
      <c r="D106" s="35" t="s">
        <v>19</v>
      </c>
      <c r="E106" s="31" t="s">
        <v>540</v>
      </c>
      <c r="F106" s="32">
        <v>23</v>
      </c>
      <c r="G106" s="11">
        <v>26</v>
      </c>
      <c r="H106" s="11">
        <v>6</v>
      </c>
      <c r="I106" s="13">
        <f t="shared" si="7"/>
        <v>20</v>
      </c>
      <c r="O106" s="16">
        <f t="shared" si="4"/>
        <v>20</v>
      </c>
      <c r="P106" s="17">
        <f t="shared" si="5"/>
        <v>0</v>
      </c>
      <c r="Q106" s="18">
        <f t="shared" si="6"/>
        <v>20</v>
      </c>
      <c r="W106" s="48">
        <v>20</v>
      </c>
    </row>
    <row r="107" spans="1:30" s="3" customFormat="1" x14ac:dyDescent="0.25">
      <c r="A107" s="21" t="s">
        <v>224</v>
      </c>
      <c r="B107" s="33" t="s">
        <v>225</v>
      </c>
      <c r="C107" s="34" t="s">
        <v>189</v>
      </c>
      <c r="D107" s="35" t="s">
        <v>19</v>
      </c>
      <c r="E107" s="31" t="s">
        <v>540</v>
      </c>
      <c r="F107" s="32">
        <v>4</v>
      </c>
      <c r="G107" s="11">
        <v>4</v>
      </c>
      <c r="H107" s="11"/>
      <c r="I107" s="13">
        <f t="shared" si="7"/>
        <v>4</v>
      </c>
      <c r="O107" s="16">
        <f t="shared" si="4"/>
        <v>4</v>
      </c>
      <c r="P107" s="17">
        <f t="shared" si="5"/>
        <v>0</v>
      </c>
      <c r="Q107" s="18">
        <f t="shared" si="6"/>
        <v>4</v>
      </c>
      <c r="R107" s="48">
        <v>4</v>
      </c>
    </row>
    <row r="108" spans="1:30" s="3" customFormat="1" x14ac:dyDescent="0.25">
      <c r="A108" s="21" t="s">
        <v>226</v>
      </c>
      <c r="B108" s="33" t="s">
        <v>227</v>
      </c>
      <c r="C108" s="34" t="s">
        <v>6</v>
      </c>
      <c r="D108" s="35" t="s">
        <v>19</v>
      </c>
      <c r="E108" s="31" t="s">
        <v>540</v>
      </c>
      <c r="F108" s="32">
        <v>26</v>
      </c>
      <c r="G108" s="11">
        <v>26</v>
      </c>
      <c r="H108" s="11">
        <v>8</v>
      </c>
      <c r="I108" s="13">
        <f t="shared" si="7"/>
        <v>18</v>
      </c>
      <c r="O108" s="16">
        <f t="shared" si="4"/>
        <v>18</v>
      </c>
      <c r="P108" s="17">
        <f t="shared" si="5"/>
        <v>0</v>
      </c>
      <c r="Q108" s="18">
        <f t="shared" si="6"/>
        <v>18</v>
      </c>
      <c r="W108" s="48">
        <v>18</v>
      </c>
    </row>
    <row r="109" spans="1:30" s="3" customFormat="1" x14ac:dyDescent="0.25">
      <c r="A109" s="21" t="s">
        <v>228</v>
      </c>
      <c r="B109" s="33" t="s">
        <v>229</v>
      </c>
      <c r="C109" s="34" t="s">
        <v>189</v>
      </c>
      <c r="D109" s="35" t="s">
        <v>19</v>
      </c>
      <c r="E109" s="31" t="s">
        <v>540</v>
      </c>
      <c r="F109" s="32">
        <v>26</v>
      </c>
      <c r="G109" s="11">
        <v>26</v>
      </c>
      <c r="H109" s="11"/>
      <c r="I109" s="13">
        <f t="shared" si="7"/>
        <v>26</v>
      </c>
      <c r="J109" s="3">
        <v>1</v>
      </c>
      <c r="O109" s="16">
        <f t="shared" si="4"/>
        <v>27</v>
      </c>
      <c r="P109" s="17">
        <f t="shared" si="5"/>
        <v>0</v>
      </c>
      <c r="Q109" s="18">
        <f t="shared" si="6"/>
        <v>27</v>
      </c>
      <c r="R109" s="48">
        <v>26</v>
      </c>
      <c r="AC109" s="49">
        <v>1</v>
      </c>
    </row>
    <row r="110" spans="1:30" s="3" customFormat="1" x14ac:dyDescent="0.25">
      <c r="A110" s="21" t="s">
        <v>230</v>
      </c>
      <c r="B110" s="33" t="s">
        <v>231</v>
      </c>
      <c r="C110" s="34" t="s">
        <v>6</v>
      </c>
      <c r="D110" s="35" t="s">
        <v>19</v>
      </c>
      <c r="E110" s="31" t="s">
        <v>540</v>
      </c>
      <c r="F110" s="32">
        <v>7</v>
      </c>
      <c r="G110" s="11">
        <v>7</v>
      </c>
      <c r="H110" s="11"/>
      <c r="I110" s="13">
        <f t="shared" si="7"/>
        <v>7</v>
      </c>
      <c r="J110" s="3">
        <v>8</v>
      </c>
      <c r="O110" s="16">
        <f t="shared" si="4"/>
        <v>15</v>
      </c>
      <c r="P110" s="17">
        <f t="shared" si="5"/>
        <v>0</v>
      </c>
      <c r="Q110" s="18">
        <f t="shared" si="6"/>
        <v>15</v>
      </c>
      <c r="W110" s="49">
        <v>7</v>
      </c>
      <c r="AD110" s="49">
        <v>8</v>
      </c>
    </row>
    <row r="111" spans="1:30" s="3" customFormat="1" x14ac:dyDescent="0.25">
      <c r="A111" s="21" t="s">
        <v>232</v>
      </c>
      <c r="B111" s="33" t="s">
        <v>233</v>
      </c>
      <c r="C111" s="34" t="s">
        <v>6</v>
      </c>
      <c r="D111" s="35" t="s">
        <v>19</v>
      </c>
      <c r="E111" s="31" t="s">
        <v>540</v>
      </c>
      <c r="F111" s="32">
        <v>32</v>
      </c>
      <c r="G111" s="11">
        <v>35</v>
      </c>
      <c r="H111" s="11">
        <v>4</v>
      </c>
      <c r="I111" s="13">
        <f t="shared" si="7"/>
        <v>31</v>
      </c>
      <c r="O111" s="16">
        <f t="shared" si="4"/>
        <v>31</v>
      </c>
      <c r="P111" s="17">
        <f t="shared" si="5"/>
        <v>0</v>
      </c>
      <c r="Q111" s="18">
        <f t="shared" si="6"/>
        <v>31</v>
      </c>
      <c r="W111" s="49">
        <v>31</v>
      </c>
    </row>
    <row r="112" spans="1:30" s="3" customFormat="1" ht="33" x14ac:dyDescent="0.25">
      <c r="A112" s="21" t="s">
        <v>234</v>
      </c>
      <c r="B112" s="33" t="s">
        <v>235</v>
      </c>
      <c r="C112" s="34" t="s">
        <v>236</v>
      </c>
      <c r="D112" s="35" t="s">
        <v>19</v>
      </c>
      <c r="E112" s="31" t="s">
        <v>540</v>
      </c>
      <c r="F112" s="32">
        <v>32</v>
      </c>
      <c r="G112" s="11">
        <v>35</v>
      </c>
      <c r="H112" s="11"/>
      <c r="I112" s="13">
        <f t="shared" si="7"/>
        <v>35</v>
      </c>
      <c r="O112" s="16">
        <f t="shared" si="4"/>
        <v>35</v>
      </c>
      <c r="P112" s="17">
        <f t="shared" si="5"/>
        <v>0</v>
      </c>
      <c r="Q112" s="18">
        <f t="shared" si="6"/>
        <v>35</v>
      </c>
      <c r="V112" s="48">
        <v>35</v>
      </c>
    </row>
    <row r="113" spans="1:23" s="3" customFormat="1" ht="33" x14ac:dyDescent="0.25">
      <c r="A113" s="21" t="s">
        <v>237</v>
      </c>
      <c r="B113" s="33" t="s">
        <v>238</v>
      </c>
      <c r="C113" s="34" t="s">
        <v>239</v>
      </c>
      <c r="D113" s="35" t="s">
        <v>19</v>
      </c>
      <c r="E113" s="31" t="s">
        <v>540</v>
      </c>
      <c r="F113" s="32">
        <v>15</v>
      </c>
      <c r="G113" s="11">
        <v>15</v>
      </c>
      <c r="H113" s="11"/>
      <c r="I113" s="13">
        <f t="shared" si="7"/>
        <v>15</v>
      </c>
      <c r="O113" s="16">
        <f t="shared" si="4"/>
        <v>15</v>
      </c>
      <c r="P113" s="17">
        <f t="shared" si="5"/>
        <v>0</v>
      </c>
      <c r="Q113" s="18">
        <f t="shared" si="6"/>
        <v>15</v>
      </c>
      <c r="V113" s="48">
        <v>15</v>
      </c>
    </row>
    <row r="114" spans="1:23" s="3" customFormat="1" ht="33" x14ac:dyDescent="0.25">
      <c r="A114" s="21" t="s">
        <v>240</v>
      </c>
      <c r="B114" s="33" t="s">
        <v>241</v>
      </c>
      <c r="C114" s="34" t="s">
        <v>236</v>
      </c>
      <c r="D114" s="35" t="s">
        <v>19</v>
      </c>
      <c r="E114" s="31" t="s">
        <v>540</v>
      </c>
      <c r="F114" s="32">
        <v>46</v>
      </c>
      <c r="G114" s="11">
        <v>49</v>
      </c>
      <c r="H114" s="11"/>
      <c r="I114" s="13">
        <f t="shared" si="7"/>
        <v>49</v>
      </c>
      <c r="O114" s="16">
        <f t="shared" si="4"/>
        <v>49</v>
      </c>
      <c r="P114" s="17">
        <f t="shared" si="5"/>
        <v>0</v>
      </c>
      <c r="Q114" s="18">
        <f t="shared" si="6"/>
        <v>49</v>
      </c>
      <c r="V114" s="48">
        <v>49</v>
      </c>
    </row>
    <row r="115" spans="1:23" s="3" customFormat="1" ht="33" x14ac:dyDescent="0.25">
      <c r="A115" s="21" t="s">
        <v>242</v>
      </c>
      <c r="B115" s="33" t="s">
        <v>243</v>
      </c>
      <c r="C115" s="34" t="s">
        <v>239</v>
      </c>
      <c r="D115" s="35" t="s">
        <v>19</v>
      </c>
      <c r="E115" s="31" t="s">
        <v>540</v>
      </c>
      <c r="F115" s="32">
        <v>8</v>
      </c>
      <c r="G115" s="11">
        <v>8</v>
      </c>
      <c r="H115" s="11"/>
      <c r="I115" s="13">
        <f t="shared" si="7"/>
        <v>8</v>
      </c>
      <c r="O115" s="16">
        <f t="shared" si="4"/>
        <v>8</v>
      </c>
      <c r="P115" s="17">
        <f t="shared" si="5"/>
        <v>0</v>
      </c>
      <c r="Q115" s="18">
        <f t="shared" si="6"/>
        <v>8</v>
      </c>
      <c r="V115" s="48">
        <v>8</v>
      </c>
    </row>
    <row r="116" spans="1:23" s="3" customFormat="1" ht="33" x14ac:dyDescent="0.25">
      <c r="A116" s="21" t="s">
        <v>244</v>
      </c>
      <c r="B116" s="33" t="s">
        <v>245</v>
      </c>
      <c r="C116" s="34" t="s">
        <v>239</v>
      </c>
      <c r="D116" s="35" t="s">
        <v>19</v>
      </c>
      <c r="E116" s="31" t="s">
        <v>540</v>
      </c>
      <c r="F116" s="32">
        <v>3</v>
      </c>
      <c r="G116" s="11">
        <v>3</v>
      </c>
      <c r="H116" s="11"/>
      <c r="I116" s="13">
        <f t="shared" si="7"/>
        <v>3</v>
      </c>
      <c r="O116" s="16">
        <f t="shared" si="4"/>
        <v>3</v>
      </c>
      <c r="P116" s="17">
        <f t="shared" si="5"/>
        <v>0</v>
      </c>
      <c r="Q116" s="18">
        <f t="shared" si="6"/>
        <v>3</v>
      </c>
      <c r="V116" s="48">
        <v>3</v>
      </c>
    </row>
    <row r="117" spans="1:23" s="3" customFormat="1" ht="33" x14ac:dyDescent="0.25">
      <c r="A117" s="21" t="s">
        <v>246</v>
      </c>
      <c r="B117" s="33" t="s">
        <v>247</v>
      </c>
      <c r="C117" s="34" t="s">
        <v>236</v>
      </c>
      <c r="D117" s="35" t="s">
        <v>19</v>
      </c>
      <c r="E117" s="31" t="s">
        <v>540</v>
      </c>
      <c r="F117" s="32">
        <v>21</v>
      </c>
      <c r="G117" s="11">
        <v>24</v>
      </c>
      <c r="H117" s="11"/>
      <c r="I117" s="13">
        <f t="shared" si="7"/>
        <v>24</v>
      </c>
      <c r="O117" s="16">
        <f t="shared" si="4"/>
        <v>24</v>
      </c>
      <c r="P117" s="17">
        <f t="shared" si="5"/>
        <v>0</v>
      </c>
      <c r="Q117" s="18">
        <f t="shared" si="6"/>
        <v>24</v>
      </c>
      <c r="V117" s="48">
        <v>24</v>
      </c>
    </row>
    <row r="118" spans="1:23" s="3" customFormat="1" x14ac:dyDescent="0.25">
      <c r="A118" s="21" t="s">
        <v>248</v>
      </c>
      <c r="B118" s="33" t="s">
        <v>249</v>
      </c>
      <c r="C118" s="34" t="s">
        <v>6</v>
      </c>
      <c r="D118" s="35" t="s">
        <v>19</v>
      </c>
      <c r="E118" s="31" t="s">
        <v>540</v>
      </c>
      <c r="F118" s="32">
        <v>4</v>
      </c>
      <c r="G118" s="11">
        <v>4</v>
      </c>
      <c r="H118" s="11">
        <v>4</v>
      </c>
      <c r="I118" s="13">
        <f t="shared" si="7"/>
        <v>0</v>
      </c>
      <c r="O118" s="16">
        <f t="shared" si="4"/>
        <v>0</v>
      </c>
      <c r="P118" s="17">
        <f t="shared" si="5"/>
        <v>0</v>
      </c>
      <c r="Q118" s="18">
        <f t="shared" si="6"/>
        <v>0</v>
      </c>
    </row>
    <row r="119" spans="1:23" s="3" customFormat="1" x14ac:dyDescent="0.25">
      <c r="A119" s="21" t="s">
        <v>250</v>
      </c>
      <c r="B119" s="33" t="s">
        <v>251</v>
      </c>
      <c r="C119" s="34" t="s">
        <v>6</v>
      </c>
      <c r="D119" s="35" t="s">
        <v>19</v>
      </c>
      <c r="E119" s="31" t="s">
        <v>540</v>
      </c>
      <c r="F119" s="32">
        <v>20</v>
      </c>
      <c r="G119" s="11">
        <v>23</v>
      </c>
      <c r="H119" s="11">
        <v>4</v>
      </c>
      <c r="I119" s="13">
        <f t="shared" si="7"/>
        <v>19</v>
      </c>
      <c r="O119" s="16">
        <f t="shared" si="4"/>
        <v>19</v>
      </c>
      <c r="P119" s="17">
        <f t="shared" si="5"/>
        <v>0</v>
      </c>
      <c r="Q119" s="18">
        <f t="shared" si="6"/>
        <v>19</v>
      </c>
      <c r="W119" s="49">
        <v>19</v>
      </c>
    </row>
    <row r="120" spans="1:23" s="3" customFormat="1" x14ac:dyDescent="0.25">
      <c r="A120" s="21" t="s">
        <v>252</v>
      </c>
      <c r="B120" s="33" t="s">
        <v>253</v>
      </c>
      <c r="C120" s="34" t="s">
        <v>6</v>
      </c>
      <c r="D120" s="35" t="s">
        <v>19</v>
      </c>
      <c r="E120" s="31" t="s">
        <v>540</v>
      </c>
      <c r="F120" s="32">
        <v>24</v>
      </c>
      <c r="G120" s="11">
        <v>25</v>
      </c>
      <c r="H120" s="11"/>
      <c r="I120" s="13">
        <f t="shared" si="7"/>
        <v>25</v>
      </c>
      <c r="O120" s="16">
        <f t="shared" si="4"/>
        <v>25</v>
      </c>
      <c r="P120" s="17">
        <f t="shared" si="5"/>
        <v>0</v>
      </c>
      <c r="Q120" s="18">
        <f t="shared" si="6"/>
        <v>25</v>
      </c>
      <c r="W120" s="49">
        <v>25</v>
      </c>
    </row>
    <row r="121" spans="1:23" s="3" customFormat="1" x14ac:dyDescent="0.25">
      <c r="A121" s="21" t="s">
        <v>254</v>
      </c>
      <c r="B121" s="33" t="s">
        <v>255</v>
      </c>
      <c r="C121" s="34" t="s">
        <v>6</v>
      </c>
      <c r="D121" s="35" t="s">
        <v>19</v>
      </c>
      <c r="E121" s="31" t="s">
        <v>540</v>
      </c>
      <c r="F121" s="32">
        <v>1</v>
      </c>
      <c r="G121" s="11">
        <v>1</v>
      </c>
      <c r="H121" s="11"/>
      <c r="I121" s="13">
        <f t="shared" si="7"/>
        <v>1</v>
      </c>
      <c r="O121" s="16">
        <f t="shared" si="4"/>
        <v>1</v>
      </c>
      <c r="P121" s="17">
        <f t="shared" si="5"/>
        <v>0</v>
      </c>
      <c r="Q121" s="18">
        <f t="shared" si="6"/>
        <v>1</v>
      </c>
      <c r="W121" s="49">
        <v>1</v>
      </c>
    </row>
    <row r="122" spans="1:23" s="3" customFormat="1" x14ac:dyDescent="0.25">
      <c r="A122" s="21" t="s">
        <v>256</v>
      </c>
      <c r="B122" s="33" t="s">
        <v>257</v>
      </c>
      <c r="C122" s="34" t="s">
        <v>6</v>
      </c>
      <c r="D122" s="35" t="s">
        <v>19</v>
      </c>
      <c r="E122" s="31" t="s">
        <v>540</v>
      </c>
      <c r="F122" s="32">
        <v>2</v>
      </c>
      <c r="G122" s="11">
        <v>2</v>
      </c>
      <c r="H122" s="11"/>
      <c r="I122" s="13">
        <f t="shared" si="7"/>
        <v>2</v>
      </c>
      <c r="O122" s="16">
        <f t="shared" si="4"/>
        <v>2</v>
      </c>
      <c r="P122" s="17">
        <f t="shared" si="5"/>
        <v>0</v>
      </c>
      <c r="Q122" s="18">
        <f t="shared" si="6"/>
        <v>2</v>
      </c>
      <c r="W122" s="49">
        <v>2</v>
      </c>
    </row>
    <row r="123" spans="1:23" s="3" customFormat="1" x14ac:dyDescent="0.25">
      <c r="A123" s="21" t="s">
        <v>258</v>
      </c>
      <c r="B123" s="33" t="s">
        <v>259</v>
      </c>
      <c r="C123" s="34" t="s">
        <v>52</v>
      </c>
      <c r="D123" s="35" t="s">
        <v>19</v>
      </c>
      <c r="E123" s="31" t="s">
        <v>540</v>
      </c>
      <c r="F123" s="32">
        <v>3</v>
      </c>
      <c r="G123" s="11">
        <v>3</v>
      </c>
      <c r="H123" s="11">
        <v>3</v>
      </c>
      <c r="I123" s="13">
        <f t="shared" si="7"/>
        <v>0</v>
      </c>
      <c r="O123" s="16">
        <f t="shared" si="4"/>
        <v>0</v>
      </c>
      <c r="P123" s="17">
        <f t="shared" si="5"/>
        <v>0</v>
      </c>
      <c r="Q123" s="18">
        <f t="shared" si="6"/>
        <v>0</v>
      </c>
    </row>
    <row r="124" spans="1:23" s="3" customFormat="1" x14ac:dyDescent="0.25">
      <c r="A124" s="21" t="s">
        <v>260</v>
      </c>
      <c r="B124" s="33" t="s">
        <v>261</v>
      </c>
      <c r="C124" s="34" t="s">
        <v>6</v>
      </c>
      <c r="D124" s="35" t="s">
        <v>19</v>
      </c>
      <c r="E124" s="31" t="s">
        <v>540</v>
      </c>
      <c r="F124" s="32">
        <v>1</v>
      </c>
      <c r="G124" s="11">
        <v>1</v>
      </c>
      <c r="H124" s="11">
        <v>1</v>
      </c>
      <c r="I124" s="13">
        <f t="shared" si="7"/>
        <v>0</v>
      </c>
      <c r="O124" s="16">
        <f t="shared" si="4"/>
        <v>0</v>
      </c>
      <c r="P124" s="17">
        <f t="shared" si="5"/>
        <v>0</v>
      </c>
      <c r="Q124" s="18">
        <f t="shared" si="6"/>
        <v>0</v>
      </c>
    </row>
    <row r="125" spans="1:23" s="3" customFormat="1" x14ac:dyDescent="0.25">
      <c r="A125" s="21" t="s">
        <v>262</v>
      </c>
      <c r="B125" s="33" t="s">
        <v>263</v>
      </c>
      <c r="C125" s="34" t="s">
        <v>6</v>
      </c>
      <c r="D125" s="35" t="s">
        <v>19</v>
      </c>
      <c r="E125" s="31" t="s">
        <v>540</v>
      </c>
      <c r="F125" s="32">
        <v>10</v>
      </c>
      <c r="G125" s="11">
        <v>10</v>
      </c>
      <c r="H125" s="11"/>
      <c r="I125" s="13">
        <f t="shared" si="7"/>
        <v>10</v>
      </c>
      <c r="O125" s="16">
        <f t="shared" si="4"/>
        <v>10</v>
      </c>
      <c r="P125" s="17">
        <f t="shared" si="5"/>
        <v>0</v>
      </c>
      <c r="Q125" s="18">
        <f t="shared" si="6"/>
        <v>10</v>
      </c>
      <c r="W125" s="49">
        <v>10</v>
      </c>
    </row>
    <row r="126" spans="1:23" s="3" customFormat="1" x14ac:dyDescent="0.25">
      <c r="A126" s="21" t="s">
        <v>264</v>
      </c>
      <c r="B126" s="33" t="s">
        <v>265</v>
      </c>
      <c r="C126" s="34" t="s">
        <v>6</v>
      </c>
      <c r="D126" s="35" t="s">
        <v>19</v>
      </c>
      <c r="E126" s="31" t="s">
        <v>540</v>
      </c>
      <c r="F126" s="32">
        <v>2</v>
      </c>
      <c r="G126" s="11">
        <v>2</v>
      </c>
      <c r="H126" s="11"/>
      <c r="I126" s="13">
        <f t="shared" si="7"/>
        <v>2</v>
      </c>
      <c r="O126" s="16">
        <f t="shared" si="4"/>
        <v>2</v>
      </c>
      <c r="P126" s="17">
        <f t="shared" si="5"/>
        <v>0</v>
      </c>
      <c r="Q126" s="18">
        <f t="shared" si="6"/>
        <v>2</v>
      </c>
      <c r="W126" s="49">
        <v>2</v>
      </c>
    </row>
    <row r="127" spans="1:23" s="3" customFormat="1" x14ac:dyDescent="0.25">
      <c r="A127" s="21" t="s">
        <v>266</v>
      </c>
      <c r="B127" s="33" t="s">
        <v>267</v>
      </c>
      <c r="C127" s="34" t="s">
        <v>6</v>
      </c>
      <c r="D127" s="35" t="s">
        <v>19</v>
      </c>
      <c r="E127" s="31" t="s">
        <v>540</v>
      </c>
      <c r="F127" s="32">
        <v>1</v>
      </c>
      <c r="G127" s="11">
        <v>1</v>
      </c>
      <c r="H127" s="11"/>
      <c r="I127" s="13">
        <f t="shared" si="7"/>
        <v>1</v>
      </c>
      <c r="O127" s="16">
        <f t="shared" si="4"/>
        <v>1</v>
      </c>
      <c r="P127" s="17">
        <f t="shared" si="5"/>
        <v>0</v>
      </c>
      <c r="Q127" s="18">
        <f t="shared" si="6"/>
        <v>1</v>
      </c>
      <c r="W127" s="49">
        <v>1</v>
      </c>
    </row>
    <row r="128" spans="1:23" s="3" customFormat="1" x14ac:dyDescent="0.25">
      <c r="A128" s="21" t="s">
        <v>268</v>
      </c>
      <c r="B128" s="33" t="s">
        <v>269</v>
      </c>
      <c r="C128" s="34" t="s">
        <v>6</v>
      </c>
      <c r="D128" s="35" t="s">
        <v>19</v>
      </c>
      <c r="E128" s="31" t="s">
        <v>540</v>
      </c>
      <c r="F128" s="32">
        <v>6</v>
      </c>
      <c r="G128" s="11">
        <v>6</v>
      </c>
      <c r="H128" s="11">
        <v>6</v>
      </c>
      <c r="I128" s="13">
        <f t="shared" si="7"/>
        <v>0</v>
      </c>
      <c r="O128" s="16">
        <f t="shared" si="4"/>
        <v>0</v>
      </c>
      <c r="P128" s="17">
        <f t="shared" si="5"/>
        <v>0</v>
      </c>
      <c r="Q128" s="18">
        <f t="shared" si="6"/>
        <v>0</v>
      </c>
    </row>
    <row r="129" spans="1:36" s="3" customFormat="1" x14ac:dyDescent="0.25">
      <c r="A129" s="21" t="s">
        <v>270</v>
      </c>
      <c r="B129" s="33" t="s">
        <v>271</v>
      </c>
      <c r="C129" s="34" t="s">
        <v>6</v>
      </c>
      <c r="D129" s="35" t="s">
        <v>19</v>
      </c>
      <c r="E129" s="31" t="s">
        <v>540</v>
      </c>
      <c r="F129" s="32">
        <v>6</v>
      </c>
      <c r="G129" s="11">
        <v>6</v>
      </c>
      <c r="H129" s="11"/>
      <c r="I129" s="13">
        <f t="shared" si="7"/>
        <v>6</v>
      </c>
      <c r="O129" s="16">
        <f t="shared" si="4"/>
        <v>6</v>
      </c>
      <c r="P129" s="17">
        <f t="shared" si="5"/>
        <v>0</v>
      </c>
      <c r="Q129" s="18">
        <f t="shared" si="6"/>
        <v>6</v>
      </c>
      <c r="W129" s="49">
        <v>6</v>
      </c>
    </row>
    <row r="130" spans="1:36" s="3" customFormat="1" x14ac:dyDescent="0.25">
      <c r="A130" s="21" t="s">
        <v>272</v>
      </c>
      <c r="B130" s="33" t="s">
        <v>273</v>
      </c>
      <c r="C130" s="34" t="s">
        <v>6</v>
      </c>
      <c r="D130" s="35" t="s">
        <v>19</v>
      </c>
      <c r="E130" s="31" t="s">
        <v>540</v>
      </c>
      <c r="F130" s="32">
        <v>4</v>
      </c>
      <c r="G130" s="11">
        <v>4</v>
      </c>
      <c r="H130" s="11"/>
      <c r="I130" s="13">
        <f t="shared" si="7"/>
        <v>4</v>
      </c>
      <c r="O130" s="16">
        <f t="shared" si="4"/>
        <v>4</v>
      </c>
      <c r="P130" s="17">
        <f t="shared" si="5"/>
        <v>0</v>
      </c>
      <c r="Q130" s="18">
        <f t="shared" si="6"/>
        <v>4</v>
      </c>
      <c r="W130" s="49">
        <v>4</v>
      </c>
    </row>
    <row r="131" spans="1:36" s="3" customFormat="1" x14ac:dyDescent="0.25">
      <c r="A131" s="21" t="s">
        <v>274</v>
      </c>
      <c r="B131" s="33" t="s">
        <v>275</v>
      </c>
      <c r="C131" s="34" t="s">
        <v>6</v>
      </c>
      <c r="D131" s="35" t="s">
        <v>19</v>
      </c>
      <c r="E131" s="31" t="s">
        <v>540</v>
      </c>
      <c r="F131" s="32">
        <v>5</v>
      </c>
      <c r="G131" s="11">
        <v>5</v>
      </c>
      <c r="H131" s="11"/>
      <c r="I131" s="13">
        <f t="shared" si="7"/>
        <v>5</v>
      </c>
      <c r="O131" s="16">
        <f t="shared" si="4"/>
        <v>5</v>
      </c>
      <c r="P131" s="17">
        <f t="shared" si="5"/>
        <v>0</v>
      </c>
      <c r="Q131" s="18">
        <f t="shared" si="6"/>
        <v>5</v>
      </c>
      <c r="W131" s="49">
        <v>5</v>
      </c>
    </row>
    <row r="132" spans="1:36" s="3" customFormat="1" x14ac:dyDescent="0.25">
      <c r="A132" s="21" t="s">
        <v>276</v>
      </c>
      <c r="B132" s="33" t="s">
        <v>277</v>
      </c>
      <c r="C132" s="34" t="s">
        <v>6</v>
      </c>
      <c r="D132" s="35" t="s">
        <v>19</v>
      </c>
      <c r="E132" s="31" t="s">
        <v>540</v>
      </c>
      <c r="F132" s="32">
        <v>3</v>
      </c>
      <c r="G132" s="11">
        <v>3</v>
      </c>
      <c r="H132" s="11"/>
      <c r="I132" s="13">
        <f t="shared" si="7"/>
        <v>3</v>
      </c>
      <c r="M132" s="3">
        <v>1</v>
      </c>
      <c r="O132" s="16">
        <f t="shared" ref="O132:O195" si="8">SUM(I132:N132)</f>
        <v>4</v>
      </c>
      <c r="P132" s="17">
        <f t="shared" si="5"/>
        <v>0</v>
      </c>
      <c r="Q132" s="18">
        <f t="shared" si="6"/>
        <v>4</v>
      </c>
      <c r="W132" s="49">
        <v>3</v>
      </c>
      <c r="AJ132" s="49">
        <v>1</v>
      </c>
    </row>
    <row r="133" spans="1:36" s="3" customFormat="1" x14ac:dyDescent="0.25">
      <c r="A133" s="21" t="s">
        <v>278</v>
      </c>
      <c r="B133" s="33" t="s">
        <v>279</v>
      </c>
      <c r="C133" s="34" t="s">
        <v>6</v>
      </c>
      <c r="D133" s="35" t="s">
        <v>19</v>
      </c>
      <c r="E133" s="31" t="s">
        <v>540</v>
      </c>
      <c r="F133" s="32">
        <v>3</v>
      </c>
      <c r="G133" s="11">
        <v>3</v>
      </c>
      <c r="H133" s="11">
        <v>3</v>
      </c>
      <c r="I133" s="13">
        <f t="shared" si="7"/>
        <v>0</v>
      </c>
      <c r="O133" s="16">
        <f t="shared" si="8"/>
        <v>0</v>
      </c>
      <c r="P133" s="17">
        <f t="shared" ref="P133:P196" si="9">+Q133-O133</f>
        <v>0</v>
      </c>
      <c r="Q133" s="18">
        <f t="shared" ref="Q133:Q196" si="10">SUM(R133:EF133)</f>
        <v>0</v>
      </c>
    </row>
    <row r="134" spans="1:36" s="3" customFormat="1" x14ac:dyDescent="0.25">
      <c r="A134" s="21" t="s">
        <v>280</v>
      </c>
      <c r="B134" s="33" t="s">
        <v>281</v>
      </c>
      <c r="C134" s="34" t="s">
        <v>52</v>
      </c>
      <c r="D134" s="35" t="s">
        <v>19</v>
      </c>
      <c r="E134" s="31" t="s">
        <v>540</v>
      </c>
      <c r="F134" s="32">
        <v>1</v>
      </c>
      <c r="G134" s="11">
        <v>1</v>
      </c>
      <c r="H134" s="11"/>
      <c r="I134" s="13">
        <f t="shared" ref="I134:I197" si="11">+G134-H134</f>
        <v>1</v>
      </c>
      <c r="O134" s="16">
        <f t="shared" si="8"/>
        <v>1</v>
      </c>
      <c r="P134" s="17">
        <f t="shared" si="9"/>
        <v>0</v>
      </c>
      <c r="Q134" s="18">
        <f t="shared" si="10"/>
        <v>1</v>
      </c>
      <c r="AA134" s="49">
        <v>1</v>
      </c>
    </row>
    <row r="135" spans="1:36" s="3" customFormat="1" x14ac:dyDescent="0.25">
      <c r="A135" s="21" t="s">
        <v>282</v>
      </c>
      <c r="B135" s="33" t="s">
        <v>283</v>
      </c>
      <c r="C135" s="34" t="s">
        <v>6</v>
      </c>
      <c r="D135" s="35" t="s">
        <v>19</v>
      </c>
      <c r="E135" s="31" t="s">
        <v>540</v>
      </c>
      <c r="F135" s="32">
        <v>3</v>
      </c>
      <c r="G135" s="11">
        <v>3</v>
      </c>
      <c r="H135" s="11">
        <v>3</v>
      </c>
      <c r="I135" s="13">
        <f t="shared" si="11"/>
        <v>0</v>
      </c>
      <c r="O135" s="16">
        <f t="shared" si="8"/>
        <v>0</v>
      </c>
      <c r="P135" s="17">
        <f t="shared" si="9"/>
        <v>0</v>
      </c>
      <c r="Q135" s="18">
        <f t="shared" si="10"/>
        <v>0</v>
      </c>
    </row>
    <row r="136" spans="1:36" s="3" customFormat="1" x14ac:dyDescent="0.25">
      <c r="A136" s="21" t="s">
        <v>284</v>
      </c>
      <c r="B136" s="33" t="s">
        <v>285</v>
      </c>
      <c r="C136" s="34" t="s">
        <v>52</v>
      </c>
      <c r="D136" s="35" t="s">
        <v>19</v>
      </c>
      <c r="E136" s="31" t="s">
        <v>540</v>
      </c>
      <c r="F136" s="32">
        <v>4</v>
      </c>
      <c r="G136" s="11">
        <v>4</v>
      </c>
      <c r="H136" s="11"/>
      <c r="I136" s="13">
        <f t="shared" si="11"/>
        <v>4</v>
      </c>
      <c r="O136" s="16">
        <f t="shared" si="8"/>
        <v>4</v>
      </c>
      <c r="P136" s="17">
        <f t="shared" si="9"/>
        <v>0</v>
      </c>
      <c r="Q136" s="18">
        <f t="shared" si="10"/>
        <v>4</v>
      </c>
      <c r="AA136" s="49">
        <v>4</v>
      </c>
    </row>
    <row r="137" spans="1:36" s="3" customFormat="1" x14ac:dyDescent="0.25">
      <c r="A137" s="21" t="s">
        <v>286</v>
      </c>
      <c r="B137" s="33" t="s">
        <v>287</v>
      </c>
      <c r="C137" s="34" t="s">
        <v>6</v>
      </c>
      <c r="D137" s="35" t="s">
        <v>19</v>
      </c>
      <c r="E137" s="31" t="s">
        <v>540</v>
      </c>
      <c r="F137" s="32">
        <v>7</v>
      </c>
      <c r="G137" s="11">
        <v>7</v>
      </c>
      <c r="H137" s="11">
        <v>2</v>
      </c>
      <c r="I137" s="13">
        <f t="shared" si="11"/>
        <v>5</v>
      </c>
      <c r="O137" s="16">
        <f t="shared" si="8"/>
        <v>5</v>
      </c>
      <c r="P137" s="17">
        <f t="shared" si="9"/>
        <v>0</v>
      </c>
      <c r="Q137" s="18">
        <f t="shared" si="10"/>
        <v>5</v>
      </c>
      <c r="W137" s="48">
        <v>5</v>
      </c>
    </row>
    <row r="138" spans="1:36" s="3" customFormat="1" x14ac:dyDescent="0.25">
      <c r="A138" s="21" t="s">
        <v>288</v>
      </c>
      <c r="B138" s="33" t="s">
        <v>289</v>
      </c>
      <c r="C138" s="34" t="s">
        <v>52</v>
      </c>
      <c r="D138" s="35" t="s">
        <v>19</v>
      </c>
      <c r="E138" s="31" t="s">
        <v>540</v>
      </c>
      <c r="F138" s="32">
        <v>2</v>
      </c>
      <c r="G138" s="11">
        <v>2</v>
      </c>
      <c r="H138" s="11"/>
      <c r="I138" s="13">
        <f t="shared" si="11"/>
        <v>2</v>
      </c>
      <c r="M138" s="3">
        <v>1</v>
      </c>
      <c r="O138" s="16">
        <f t="shared" si="8"/>
        <v>3</v>
      </c>
      <c r="P138" s="17">
        <f t="shared" si="9"/>
        <v>-1</v>
      </c>
      <c r="Q138" s="18">
        <f t="shared" si="10"/>
        <v>2</v>
      </c>
      <c r="AA138" s="49">
        <v>2</v>
      </c>
    </row>
    <row r="139" spans="1:36" s="3" customFormat="1" x14ac:dyDescent="0.25">
      <c r="A139" s="21" t="s">
        <v>290</v>
      </c>
      <c r="B139" s="33" t="s">
        <v>291</v>
      </c>
      <c r="C139" s="34" t="s">
        <v>6</v>
      </c>
      <c r="D139" s="35" t="s">
        <v>19</v>
      </c>
      <c r="E139" s="31" t="s">
        <v>540</v>
      </c>
      <c r="F139" s="32">
        <v>1</v>
      </c>
      <c r="G139" s="11">
        <v>1</v>
      </c>
      <c r="H139" s="11">
        <v>1</v>
      </c>
      <c r="I139" s="13">
        <f t="shared" si="11"/>
        <v>0</v>
      </c>
      <c r="M139" s="3">
        <v>1</v>
      </c>
      <c r="O139" s="16">
        <f t="shared" si="8"/>
        <v>1</v>
      </c>
      <c r="P139" s="17">
        <f t="shared" si="9"/>
        <v>0</v>
      </c>
      <c r="Q139" s="18">
        <f t="shared" si="10"/>
        <v>1</v>
      </c>
      <c r="AJ139" s="49">
        <v>1</v>
      </c>
    </row>
    <row r="140" spans="1:36" s="3" customFormat="1" x14ac:dyDescent="0.25">
      <c r="A140" s="21" t="s">
        <v>292</v>
      </c>
      <c r="B140" s="33" t="s">
        <v>293</v>
      </c>
      <c r="C140" s="34" t="s">
        <v>52</v>
      </c>
      <c r="D140" s="35" t="s">
        <v>19</v>
      </c>
      <c r="E140" s="31" t="s">
        <v>540</v>
      </c>
      <c r="F140" s="32">
        <v>7</v>
      </c>
      <c r="G140" s="11">
        <v>7</v>
      </c>
      <c r="H140" s="11"/>
      <c r="I140" s="13">
        <f t="shared" si="11"/>
        <v>7</v>
      </c>
      <c r="O140" s="16">
        <f t="shared" si="8"/>
        <v>7</v>
      </c>
      <c r="P140" s="17">
        <f t="shared" si="9"/>
        <v>0</v>
      </c>
      <c r="Q140" s="18">
        <f t="shared" si="10"/>
        <v>7</v>
      </c>
      <c r="AA140" s="49">
        <v>7</v>
      </c>
    </row>
    <row r="141" spans="1:36" s="3" customFormat="1" x14ac:dyDescent="0.25">
      <c r="A141" s="21" t="s">
        <v>294</v>
      </c>
      <c r="B141" s="33" t="s">
        <v>295</v>
      </c>
      <c r="C141" s="34" t="s">
        <v>6</v>
      </c>
      <c r="D141" s="35" t="s">
        <v>19</v>
      </c>
      <c r="E141" s="31" t="s">
        <v>540</v>
      </c>
      <c r="F141" s="32">
        <v>6</v>
      </c>
      <c r="G141" s="11">
        <v>6</v>
      </c>
      <c r="H141" s="11">
        <v>1</v>
      </c>
      <c r="I141" s="13">
        <f t="shared" si="11"/>
        <v>5</v>
      </c>
      <c r="O141" s="16">
        <f t="shared" si="8"/>
        <v>5</v>
      </c>
      <c r="P141" s="17">
        <f t="shared" si="9"/>
        <v>0</v>
      </c>
      <c r="Q141" s="18">
        <f t="shared" si="10"/>
        <v>5</v>
      </c>
      <c r="W141" s="48">
        <v>5</v>
      </c>
    </row>
    <row r="142" spans="1:36" s="3" customFormat="1" x14ac:dyDescent="0.25">
      <c r="A142" s="21" t="s">
        <v>296</v>
      </c>
      <c r="B142" s="33" t="s">
        <v>297</v>
      </c>
      <c r="C142" s="34" t="s">
        <v>6</v>
      </c>
      <c r="D142" s="35" t="s">
        <v>19</v>
      </c>
      <c r="E142" s="31" t="s">
        <v>540</v>
      </c>
      <c r="F142" s="32">
        <v>1</v>
      </c>
      <c r="G142" s="11">
        <v>1</v>
      </c>
      <c r="H142" s="11"/>
      <c r="I142" s="13">
        <f t="shared" si="11"/>
        <v>1</v>
      </c>
      <c r="J142" s="3">
        <v>1</v>
      </c>
      <c r="O142" s="16">
        <f t="shared" si="8"/>
        <v>2</v>
      </c>
      <c r="P142" s="17">
        <f t="shared" si="9"/>
        <v>0</v>
      </c>
      <c r="Q142" s="18">
        <f t="shared" si="10"/>
        <v>2</v>
      </c>
      <c r="W142" s="48">
        <v>1</v>
      </c>
      <c r="AD142" s="3">
        <v>1</v>
      </c>
    </row>
    <row r="143" spans="1:36" s="3" customFormat="1" x14ac:dyDescent="0.25">
      <c r="A143" s="21" t="s">
        <v>298</v>
      </c>
      <c r="B143" s="33" t="s">
        <v>299</v>
      </c>
      <c r="C143" s="34" t="s">
        <v>52</v>
      </c>
      <c r="D143" s="35" t="s">
        <v>19</v>
      </c>
      <c r="E143" s="31" t="s">
        <v>540</v>
      </c>
      <c r="F143" s="32">
        <v>1</v>
      </c>
      <c r="G143" s="11">
        <v>1</v>
      </c>
      <c r="H143" s="11"/>
      <c r="I143" s="13">
        <f t="shared" si="11"/>
        <v>1</v>
      </c>
      <c r="O143" s="16">
        <f t="shared" si="8"/>
        <v>1</v>
      </c>
      <c r="P143" s="17">
        <f t="shared" si="9"/>
        <v>0</v>
      </c>
      <c r="Q143" s="18">
        <f t="shared" si="10"/>
        <v>1</v>
      </c>
      <c r="AA143" s="49">
        <v>1</v>
      </c>
    </row>
    <row r="144" spans="1:36" s="3" customFormat="1" x14ac:dyDescent="0.25">
      <c r="A144" s="21" t="s">
        <v>300</v>
      </c>
      <c r="B144" s="33" t="s">
        <v>301</v>
      </c>
      <c r="C144" s="34" t="s">
        <v>6</v>
      </c>
      <c r="D144" s="35" t="s">
        <v>19</v>
      </c>
      <c r="E144" s="31" t="s">
        <v>540</v>
      </c>
      <c r="F144" s="32">
        <v>1</v>
      </c>
      <c r="G144" s="11">
        <v>1</v>
      </c>
      <c r="H144" s="11">
        <v>1</v>
      </c>
      <c r="I144" s="13">
        <f t="shared" si="11"/>
        <v>0</v>
      </c>
      <c r="O144" s="16">
        <f t="shared" si="8"/>
        <v>0</v>
      </c>
      <c r="P144" s="17">
        <f t="shared" si="9"/>
        <v>0</v>
      </c>
      <c r="Q144" s="18">
        <f t="shared" si="10"/>
        <v>0</v>
      </c>
    </row>
    <row r="145" spans="1:30" s="3" customFormat="1" x14ac:dyDescent="0.25">
      <c r="A145" s="21" t="s">
        <v>302</v>
      </c>
      <c r="B145" s="33" t="s">
        <v>303</v>
      </c>
      <c r="C145" s="34" t="s">
        <v>52</v>
      </c>
      <c r="D145" s="35" t="s">
        <v>19</v>
      </c>
      <c r="E145" s="31" t="s">
        <v>540</v>
      </c>
      <c r="F145" s="32">
        <v>2</v>
      </c>
      <c r="G145" s="11">
        <v>2</v>
      </c>
      <c r="H145" s="11"/>
      <c r="I145" s="13">
        <f t="shared" si="11"/>
        <v>2</v>
      </c>
      <c r="O145" s="16">
        <f t="shared" si="8"/>
        <v>2</v>
      </c>
      <c r="P145" s="17">
        <f t="shared" si="9"/>
        <v>0</v>
      </c>
      <c r="Q145" s="18">
        <f t="shared" si="10"/>
        <v>2</v>
      </c>
      <c r="AA145" s="49">
        <v>2</v>
      </c>
    </row>
    <row r="146" spans="1:30" s="3" customFormat="1" x14ac:dyDescent="0.25">
      <c r="A146" s="21" t="s">
        <v>304</v>
      </c>
      <c r="B146" s="33" t="s">
        <v>305</v>
      </c>
      <c r="C146" s="34" t="s">
        <v>52</v>
      </c>
      <c r="D146" s="35" t="s">
        <v>19</v>
      </c>
      <c r="E146" s="31" t="s">
        <v>540</v>
      </c>
      <c r="F146" s="32">
        <v>2</v>
      </c>
      <c r="G146" s="11">
        <v>2</v>
      </c>
      <c r="H146" s="11">
        <v>2</v>
      </c>
      <c r="I146" s="13">
        <f t="shared" si="11"/>
        <v>0</v>
      </c>
      <c r="O146" s="16">
        <f t="shared" si="8"/>
        <v>0</v>
      </c>
      <c r="P146" s="17">
        <f t="shared" si="9"/>
        <v>0</v>
      </c>
      <c r="Q146" s="18">
        <f t="shared" si="10"/>
        <v>0</v>
      </c>
    </row>
    <row r="147" spans="1:30" s="3" customFormat="1" x14ac:dyDescent="0.25">
      <c r="A147" s="21" t="s">
        <v>306</v>
      </c>
      <c r="B147" s="33" t="s">
        <v>307</v>
      </c>
      <c r="C147" s="34" t="s">
        <v>52</v>
      </c>
      <c r="D147" s="35" t="s">
        <v>19</v>
      </c>
      <c r="E147" s="31" t="s">
        <v>540</v>
      </c>
      <c r="F147" s="32">
        <v>1</v>
      </c>
      <c r="G147" s="11">
        <v>1</v>
      </c>
      <c r="H147" s="11"/>
      <c r="I147" s="13">
        <f t="shared" si="11"/>
        <v>1</v>
      </c>
      <c r="O147" s="16">
        <f t="shared" si="8"/>
        <v>1</v>
      </c>
      <c r="P147" s="17">
        <f t="shared" si="9"/>
        <v>0</v>
      </c>
      <c r="Q147" s="18">
        <f t="shared" si="10"/>
        <v>1</v>
      </c>
      <c r="AA147" s="49">
        <v>1</v>
      </c>
    </row>
    <row r="148" spans="1:30" s="3" customFormat="1" x14ac:dyDescent="0.25">
      <c r="A148" s="21" t="s">
        <v>308</v>
      </c>
      <c r="B148" s="33" t="s">
        <v>309</v>
      </c>
      <c r="C148" s="34" t="s">
        <v>52</v>
      </c>
      <c r="D148" s="35" t="s">
        <v>19</v>
      </c>
      <c r="E148" s="31" t="s">
        <v>540</v>
      </c>
      <c r="F148" s="32">
        <v>1</v>
      </c>
      <c r="G148" s="11">
        <v>1</v>
      </c>
      <c r="H148" s="11"/>
      <c r="I148" s="13">
        <f t="shared" si="11"/>
        <v>1</v>
      </c>
      <c r="O148" s="16">
        <f t="shared" si="8"/>
        <v>1</v>
      </c>
      <c r="P148" s="17">
        <f t="shared" si="9"/>
        <v>0</v>
      </c>
      <c r="Q148" s="18">
        <f t="shared" si="10"/>
        <v>1</v>
      </c>
      <c r="AA148" s="49">
        <v>1</v>
      </c>
    </row>
    <row r="149" spans="1:30" s="3" customFormat="1" x14ac:dyDescent="0.25">
      <c r="A149" s="21" t="s">
        <v>310</v>
      </c>
      <c r="B149" s="33" t="s">
        <v>311</v>
      </c>
      <c r="C149" s="34" t="s">
        <v>52</v>
      </c>
      <c r="D149" s="35" t="s">
        <v>19</v>
      </c>
      <c r="E149" s="31" t="s">
        <v>540</v>
      </c>
      <c r="F149" s="32">
        <v>1</v>
      </c>
      <c r="G149" s="11">
        <v>1</v>
      </c>
      <c r="H149" s="11"/>
      <c r="I149" s="13">
        <f t="shared" si="11"/>
        <v>1</v>
      </c>
      <c r="O149" s="16">
        <f t="shared" si="8"/>
        <v>1</v>
      </c>
      <c r="P149" s="17">
        <f t="shared" si="9"/>
        <v>0</v>
      </c>
      <c r="Q149" s="18">
        <f t="shared" si="10"/>
        <v>1</v>
      </c>
      <c r="AA149" s="49">
        <v>1</v>
      </c>
    </row>
    <row r="150" spans="1:30" s="3" customFormat="1" x14ac:dyDescent="0.25">
      <c r="A150" s="21" t="s">
        <v>312</v>
      </c>
      <c r="B150" s="33" t="s">
        <v>313</v>
      </c>
      <c r="C150" s="34" t="s">
        <v>52</v>
      </c>
      <c r="D150" s="35" t="s">
        <v>19</v>
      </c>
      <c r="E150" s="31" t="s">
        <v>540</v>
      </c>
      <c r="F150" s="32">
        <v>2</v>
      </c>
      <c r="G150" s="11">
        <v>2</v>
      </c>
      <c r="H150" s="11"/>
      <c r="I150" s="13">
        <f t="shared" si="11"/>
        <v>2</v>
      </c>
      <c r="O150" s="16">
        <f t="shared" si="8"/>
        <v>2</v>
      </c>
      <c r="P150" s="17">
        <f t="shared" si="9"/>
        <v>0</v>
      </c>
      <c r="Q150" s="18">
        <f t="shared" si="10"/>
        <v>2</v>
      </c>
      <c r="AA150" s="49">
        <v>2</v>
      </c>
    </row>
    <row r="151" spans="1:30" s="3" customFormat="1" x14ac:dyDescent="0.25">
      <c r="A151" s="21" t="s">
        <v>314</v>
      </c>
      <c r="B151" s="33" t="s">
        <v>315</v>
      </c>
      <c r="C151" s="34" t="s">
        <v>52</v>
      </c>
      <c r="D151" s="35" t="s">
        <v>19</v>
      </c>
      <c r="E151" s="31" t="s">
        <v>540</v>
      </c>
      <c r="F151" s="32">
        <v>8</v>
      </c>
      <c r="G151" s="11">
        <v>8</v>
      </c>
      <c r="H151" s="11"/>
      <c r="I151" s="13">
        <f t="shared" si="11"/>
        <v>8</v>
      </c>
      <c r="O151" s="16">
        <f t="shared" si="8"/>
        <v>8</v>
      </c>
      <c r="P151" s="17">
        <f t="shared" si="9"/>
        <v>0</v>
      </c>
      <c r="Q151" s="18">
        <f t="shared" si="10"/>
        <v>8</v>
      </c>
      <c r="AA151" s="49">
        <v>8</v>
      </c>
    </row>
    <row r="152" spans="1:30" s="3" customFormat="1" x14ac:dyDescent="0.25">
      <c r="A152" s="21" t="s">
        <v>316</v>
      </c>
      <c r="B152" s="33" t="s">
        <v>317</v>
      </c>
      <c r="C152" s="34" t="s">
        <v>6</v>
      </c>
      <c r="D152" s="35" t="s">
        <v>19</v>
      </c>
      <c r="E152" s="31" t="s">
        <v>540</v>
      </c>
      <c r="F152" s="32">
        <v>3</v>
      </c>
      <c r="G152" s="11">
        <v>3</v>
      </c>
      <c r="H152" s="11"/>
      <c r="I152" s="13">
        <f t="shared" si="11"/>
        <v>3</v>
      </c>
      <c r="O152" s="16">
        <f t="shared" si="8"/>
        <v>3</v>
      </c>
      <c r="P152" s="17">
        <f t="shared" si="9"/>
        <v>0</v>
      </c>
      <c r="Q152" s="18">
        <f t="shared" si="10"/>
        <v>3</v>
      </c>
      <c r="V152" s="48">
        <v>3</v>
      </c>
    </row>
    <row r="153" spans="1:30" s="3" customFormat="1" ht="33" x14ac:dyDescent="0.25">
      <c r="A153" s="21" t="s">
        <v>318</v>
      </c>
      <c r="B153" s="33" t="s">
        <v>319</v>
      </c>
      <c r="C153" s="34" t="s">
        <v>102</v>
      </c>
      <c r="D153" s="35" t="s">
        <v>19</v>
      </c>
      <c r="E153" s="31" t="s">
        <v>540</v>
      </c>
      <c r="F153" s="32">
        <v>2</v>
      </c>
      <c r="G153" s="11">
        <v>2</v>
      </c>
      <c r="H153" s="11"/>
      <c r="I153" s="13">
        <f t="shared" si="11"/>
        <v>2</v>
      </c>
      <c r="O153" s="16">
        <f t="shared" si="8"/>
        <v>2</v>
      </c>
      <c r="P153" s="17">
        <f t="shared" si="9"/>
        <v>0</v>
      </c>
      <c r="Q153" s="18">
        <f t="shared" si="10"/>
        <v>2</v>
      </c>
      <c r="T153" s="48">
        <v>2</v>
      </c>
    </row>
    <row r="154" spans="1:30" s="3" customFormat="1" x14ac:dyDescent="0.25">
      <c r="A154" s="21" t="s">
        <v>320</v>
      </c>
      <c r="B154" s="33" t="s">
        <v>321</v>
      </c>
      <c r="C154" s="34" t="s">
        <v>102</v>
      </c>
      <c r="D154" s="35" t="s">
        <v>19</v>
      </c>
      <c r="E154" s="31" t="s">
        <v>540</v>
      </c>
      <c r="F154" s="32">
        <v>1</v>
      </c>
      <c r="G154" s="11">
        <v>1</v>
      </c>
      <c r="H154" s="11"/>
      <c r="I154" s="13">
        <f t="shared" si="11"/>
        <v>1</v>
      </c>
      <c r="O154" s="16">
        <f t="shared" si="8"/>
        <v>1</v>
      </c>
      <c r="P154" s="17">
        <f t="shared" si="9"/>
        <v>0</v>
      </c>
      <c r="Q154" s="18">
        <f t="shared" si="10"/>
        <v>1</v>
      </c>
      <c r="T154" s="48">
        <v>1</v>
      </c>
    </row>
    <row r="155" spans="1:30" s="3" customFormat="1" ht="33" x14ac:dyDescent="0.25">
      <c r="A155" s="21" t="s">
        <v>322</v>
      </c>
      <c r="B155" s="33" t="s">
        <v>323</v>
      </c>
      <c r="C155" s="34" t="s">
        <v>102</v>
      </c>
      <c r="D155" s="35" t="s">
        <v>19</v>
      </c>
      <c r="E155" s="31" t="s">
        <v>540</v>
      </c>
      <c r="F155" s="32">
        <v>20</v>
      </c>
      <c r="G155" s="11">
        <v>20</v>
      </c>
      <c r="H155" s="11"/>
      <c r="I155" s="13">
        <f t="shared" si="11"/>
        <v>20</v>
      </c>
      <c r="O155" s="16">
        <f t="shared" si="8"/>
        <v>20</v>
      </c>
      <c r="P155" s="17">
        <f t="shared" si="9"/>
        <v>0</v>
      </c>
      <c r="Q155" s="18">
        <f t="shared" si="10"/>
        <v>20</v>
      </c>
      <c r="T155" s="48">
        <v>20</v>
      </c>
    </row>
    <row r="156" spans="1:30" s="3" customFormat="1" ht="33" x14ac:dyDescent="0.25">
      <c r="A156" s="21" t="s">
        <v>324</v>
      </c>
      <c r="B156" s="33" t="s">
        <v>325</v>
      </c>
      <c r="C156" s="34" t="s">
        <v>102</v>
      </c>
      <c r="D156" s="35" t="s">
        <v>19</v>
      </c>
      <c r="E156" s="31" t="s">
        <v>540</v>
      </c>
      <c r="F156" s="32">
        <v>1</v>
      </c>
      <c r="G156" s="11">
        <v>1</v>
      </c>
      <c r="H156" s="11"/>
      <c r="I156" s="13">
        <f t="shared" si="11"/>
        <v>1</v>
      </c>
      <c r="J156" s="3">
        <v>1</v>
      </c>
      <c r="O156" s="16">
        <f t="shared" si="8"/>
        <v>2</v>
      </c>
      <c r="P156" s="17">
        <f t="shared" si="9"/>
        <v>0</v>
      </c>
      <c r="Q156" s="18">
        <f t="shared" si="10"/>
        <v>2</v>
      </c>
      <c r="T156" s="48">
        <v>1</v>
      </c>
      <c r="AD156" s="49">
        <v>1</v>
      </c>
    </row>
    <row r="157" spans="1:30" s="3" customFormat="1" x14ac:dyDescent="0.25">
      <c r="A157" s="21" t="s">
        <v>326</v>
      </c>
      <c r="B157" s="33" t="s">
        <v>327</v>
      </c>
      <c r="C157" s="34" t="s">
        <v>102</v>
      </c>
      <c r="D157" s="35" t="s">
        <v>19</v>
      </c>
      <c r="E157" s="31" t="s">
        <v>540</v>
      </c>
      <c r="F157" s="32">
        <v>1</v>
      </c>
      <c r="G157" s="11">
        <v>1</v>
      </c>
      <c r="H157" s="11">
        <v>1</v>
      </c>
      <c r="I157" s="13">
        <f t="shared" si="11"/>
        <v>0</v>
      </c>
      <c r="O157" s="16">
        <f t="shared" si="8"/>
        <v>0</v>
      </c>
      <c r="P157" s="17">
        <f t="shared" si="9"/>
        <v>0</v>
      </c>
      <c r="Q157" s="18">
        <f t="shared" si="10"/>
        <v>0</v>
      </c>
    </row>
    <row r="158" spans="1:30" s="3" customFormat="1" ht="33" x14ac:dyDescent="0.25">
      <c r="A158" s="21" t="s">
        <v>328</v>
      </c>
      <c r="B158" s="33" t="s">
        <v>329</v>
      </c>
      <c r="C158" s="34" t="s">
        <v>102</v>
      </c>
      <c r="D158" s="35" t="s">
        <v>19</v>
      </c>
      <c r="E158" s="31" t="s">
        <v>540</v>
      </c>
      <c r="F158" s="32">
        <v>29</v>
      </c>
      <c r="G158" s="11">
        <v>30</v>
      </c>
      <c r="H158" s="11"/>
      <c r="I158" s="13">
        <f t="shared" si="11"/>
        <v>30</v>
      </c>
      <c r="O158" s="16">
        <f t="shared" si="8"/>
        <v>30</v>
      </c>
      <c r="P158" s="17">
        <f t="shared" si="9"/>
        <v>0</v>
      </c>
      <c r="Q158" s="18">
        <f t="shared" si="10"/>
        <v>30</v>
      </c>
      <c r="T158" s="48">
        <v>30</v>
      </c>
    </row>
    <row r="159" spans="1:30" s="3" customFormat="1" x14ac:dyDescent="0.25">
      <c r="A159" s="21" t="s">
        <v>330</v>
      </c>
      <c r="B159" s="33" t="s">
        <v>331</v>
      </c>
      <c r="C159" s="34" t="s">
        <v>102</v>
      </c>
      <c r="D159" s="35" t="s">
        <v>19</v>
      </c>
      <c r="E159" s="31" t="s">
        <v>540</v>
      </c>
      <c r="F159" s="32">
        <v>2</v>
      </c>
      <c r="G159" s="11">
        <v>2</v>
      </c>
      <c r="H159" s="11">
        <v>2</v>
      </c>
      <c r="I159" s="13">
        <f t="shared" si="11"/>
        <v>0</v>
      </c>
      <c r="O159" s="16">
        <f t="shared" si="8"/>
        <v>0</v>
      </c>
      <c r="P159" s="17">
        <f t="shared" si="9"/>
        <v>0</v>
      </c>
      <c r="Q159" s="18">
        <f t="shared" si="10"/>
        <v>0</v>
      </c>
    </row>
    <row r="160" spans="1:30" s="3" customFormat="1" x14ac:dyDescent="0.25">
      <c r="A160" s="21" t="s">
        <v>332</v>
      </c>
      <c r="B160" s="33" t="s">
        <v>333</v>
      </c>
      <c r="C160" s="34" t="s">
        <v>6</v>
      </c>
      <c r="D160" s="35" t="s">
        <v>19</v>
      </c>
      <c r="E160" s="31" t="s">
        <v>540</v>
      </c>
      <c r="F160" s="32">
        <v>102</v>
      </c>
      <c r="G160" s="11">
        <v>114</v>
      </c>
      <c r="H160" s="11"/>
      <c r="I160" s="13">
        <f t="shared" si="11"/>
        <v>114</v>
      </c>
      <c r="O160" s="16">
        <f t="shared" si="8"/>
        <v>114</v>
      </c>
      <c r="P160" s="17">
        <f t="shared" si="9"/>
        <v>0</v>
      </c>
      <c r="Q160" s="18">
        <f t="shared" si="10"/>
        <v>114</v>
      </c>
      <c r="W160" s="49">
        <v>114</v>
      </c>
    </row>
    <row r="161" spans="1:36" s="3" customFormat="1" x14ac:dyDescent="0.25">
      <c r="A161" s="21" t="s">
        <v>334</v>
      </c>
      <c r="B161" s="33" t="s">
        <v>335</v>
      </c>
      <c r="C161" s="34" t="s">
        <v>189</v>
      </c>
      <c r="D161" s="35" t="s">
        <v>19</v>
      </c>
      <c r="E161" s="31" t="s">
        <v>540</v>
      </c>
      <c r="F161" s="32">
        <v>7</v>
      </c>
      <c r="G161" s="11">
        <v>7</v>
      </c>
      <c r="H161" s="11"/>
      <c r="I161" s="13">
        <f t="shared" si="11"/>
        <v>7</v>
      </c>
      <c r="O161" s="16">
        <f t="shared" si="8"/>
        <v>7</v>
      </c>
      <c r="P161" s="17">
        <f t="shared" si="9"/>
        <v>0</v>
      </c>
      <c r="Q161" s="18">
        <f t="shared" si="10"/>
        <v>7</v>
      </c>
      <c r="R161" s="48">
        <v>7</v>
      </c>
    </row>
    <row r="162" spans="1:36" s="3" customFormat="1" x14ac:dyDescent="0.25">
      <c r="A162" s="21" t="s">
        <v>336</v>
      </c>
      <c r="B162" s="33" t="s">
        <v>337</v>
      </c>
      <c r="C162" s="34" t="s">
        <v>6</v>
      </c>
      <c r="D162" s="35" t="s">
        <v>19</v>
      </c>
      <c r="E162" s="31" t="s">
        <v>540</v>
      </c>
      <c r="F162" s="32">
        <v>40</v>
      </c>
      <c r="G162" s="11">
        <v>44</v>
      </c>
      <c r="H162" s="11">
        <v>1</v>
      </c>
      <c r="I162" s="13">
        <f t="shared" si="11"/>
        <v>43</v>
      </c>
      <c r="O162" s="16">
        <f t="shared" si="8"/>
        <v>43</v>
      </c>
      <c r="P162" s="17">
        <f t="shared" si="9"/>
        <v>0</v>
      </c>
      <c r="Q162" s="18">
        <f t="shared" si="10"/>
        <v>43</v>
      </c>
      <c r="W162" s="48">
        <v>43</v>
      </c>
    </row>
    <row r="163" spans="1:36" s="3" customFormat="1" x14ac:dyDescent="0.25">
      <c r="A163" s="21" t="s">
        <v>338</v>
      </c>
      <c r="B163" s="33" t="s">
        <v>339</v>
      </c>
      <c r="C163" s="34" t="s">
        <v>6</v>
      </c>
      <c r="D163" s="35" t="s">
        <v>19</v>
      </c>
      <c r="E163" s="31" t="s">
        <v>540</v>
      </c>
      <c r="F163" s="32">
        <v>6</v>
      </c>
      <c r="G163" s="11">
        <v>6</v>
      </c>
      <c r="H163" s="11"/>
      <c r="I163" s="13">
        <f t="shared" si="11"/>
        <v>6</v>
      </c>
      <c r="O163" s="16">
        <f t="shared" si="8"/>
        <v>6</v>
      </c>
      <c r="P163" s="17">
        <f t="shared" si="9"/>
        <v>0</v>
      </c>
      <c r="Q163" s="18">
        <f t="shared" si="10"/>
        <v>6</v>
      </c>
      <c r="W163" s="48">
        <v>6</v>
      </c>
    </row>
    <row r="164" spans="1:36" s="3" customFormat="1" x14ac:dyDescent="0.25">
      <c r="A164" s="21" t="s">
        <v>340</v>
      </c>
      <c r="B164" s="33" t="s">
        <v>341</v>
      </c>
      <c r="C164" s="34" t="s">
        <v>6</v>
      </c>
      <c r="D164" s="35" t="s">
        <v>19</v>
      </c>
      <c r="E164" s="31" t="s">
        <v>540</v>
      </c>
      <c r="F164" s="32">
        <v>2</v>
      </c>
      <c r="G164" s="11">
        <v>3</v>
      </c>
      <c r="H164" s="11">
        <v>2</v>
      </c>
      <c r="I164" s="13">
        <f t="shared" si="11"/>
        <v>1</v>
      </c>
      <c r="O164" s="16">
        <f t="shared" si="8"/>
        <v>1</v>
      </c>
      <c r="P164" s="17">
        <f t="shared" si="9"/>
        <v>0</v>
      </c>
      <c r="Q164" s="18">
        <f t="shared" si="10"/>
        <v>1</v>
      </c>
      <c r="W164" s="49">
        <v>1</v>
      </c>
    </row>
    <row r="165" spans="1:36" s="3" customFormat="1" x14ac:dyDescent="0.25">
      <c r="A165" s="21" t="s">
        <v>342</v>
      </c>
      <c r="B165" s="33" t="s">
        <v>343</v>
      </c>
      <c r="C165" s="34" t="s">
        <v>189</v>
      </c>
      <c r="D165" s="35" t="s">
        <v>19</v>
      </c>
      <c r="E165" s="31" t="s">
        <v>540</v>
      </c>
      <c r="F165" s="32">
        <v>6</v>
      </c>
      <c r="G165" s="11">
        <v>6</v>
      </c>
      <c r="H165" s="11"/>
      <c r="I165" s="13">
        <f t="shared" si="11"/>
        <v>6</v>
      </c>
      <c r="O165" s="16">
        <f t="shared" si="8"/>
        <v>6</v>
      </c>
      <c r="P165" s="17">
        <f t="shared" si="9"/>
        <v>0</v>
      </c>
      <c r="Q165" s="18">
        <f t="shared" si="10"/>
        <v>6</v>
      </c>
      <c r="R165" s="48">
        <v>6</v>
      </c>
    </row>
    <row r="166" spans="1:36" s="3" customFormat="1" x14ac:dyDescent="0.25">
      <c r="A166" s="21" t="s">
        <v>344</v>
      </c>
      <c r="B166" s="33" t="s">
        <v>345</v>
      </c>
      <c r="C166" s="34" t="s">
        <v>189</v>
      </c>
      <c r="D166" s="35" t="s">
        <v>19</v>
      </c>
      <c r="E166" s="31" t="s">
        <v>540</v>
      </c>
      <c r="F166" s="32">
        <v>3</v>
      </c>
      <c r="G166" s="11">
        <v>3</v>
      </c>
      <c r="H166" s="11"/>
      <c r="I166" s="13">
        <f t="shared" si="11"/>
        <v>3</v>
      </c>
      <c r="O166" s="16">
        <f t="shared" si="8"/>
        <v>3</v>
      </c>
      <c r="P166" s="17">
        <f t="shared" si="9"/>
        <v>0</v>
      </c>
      <c r="Q166" s="18">
        <f t="shared" si="10"/>
        <v>3</v>
      </c>
      <c r="R166" s="48">
        <v>3</v>
      </c>
    </row>
    <row r="167" spans="1:36" s="3" customFormat="1" x14ac:dyDescent="0.25">
      <c r="A167" s="21" t="s">
        <v>346</v>
      </c>
      <c r="B167" s="33" t="s">
        <v>347</v>
      </c>
      <c r="C167" s="34" t="s">
        <v>189</v>
      </c>
      <c r="D167" s="35" t="s">
        <v>19</v>
      </c>
      <c r="E167" s="31" t="s">
        <v>540</v>
      </c>
      <c r="F167" s="32">
        <v>2</v>
      </c>
      <c r="G167" s="11">
        <v>2</v>
      </c>
      <c r="H167" s="11"/>
      <c r="I167" s="13">
        <f t="shared" si="11"/>
        <v>2</v>
      </c>
      <c r="O167" s="16">
        <f t="shared" si="8"/>
        <v>2</v>
      </c>
      <c r="P167" s="17">
        <f t="shared" si="9"/>
        <v>0</v>
      </c>
      <c r="Q167" s="18">
        <f t="shared" si="10"/>
        <v>2</v>
      </c>
      <c r="R167" s="48">
        <v>2</v>
      </c>
    </row>
    <row r="168" spans="1:36" s="3" customFormat="1" x14ac:dyDescent="0.25">
      <c r="A168" s="21" t="s">
        <v>348</v>
      </c>
      <c r="B168" s="33" t="s">
        <v>349</v>
      </c>
      <c r="C168" s="34" t="s">
        <v>6</v>
      </c>
      <c r="D168" s="35" t="s">
        <v>19</v>
      </c>
      <c r="E168" s="31" t="s">
        <v>540</v>
      </c>
      <c r="F168" s="32">
        <v>3</v>
      </c>
      <c r="G168" s="11">
        <v>3</v>
      </c>
      <c r="H168" s="11"/>
      <c r="I168" s="13">
        <f t="shared" si="11"/>
        <v>3</v>
      </c>
      <c r="O168" s="16">
        <f t="shared" si="8"/>
        <v>3</v>
      </c>
      <c r="P168" s="17">
        <f t="shared" si="9"/>
        <v>0</v>
      </c>
      <c r="Q168" s="18">
        <f t="shared" si="10"/>
        <v>3</v>
      </c>
      <c r="W168" s="48">
        <v>3</v>
      </c>
    </row>
    <row r="169" spans="1:36" s="3" customFormat="1" x14ac:dyDescent="0.25">
      <c r="A169" s="21" t="s">
        <v>350</v>
      </c>
      <c r="B169" s="33" t="s">
        <v>351</v>
      </c>
      <c r="C169" s="34" t="s">
        <v>6</v>
      </c>
      <c r="D169" s="35" t="s">
        <v>19</v>
      </c>
      <c r="E169" s="31" t="s">
        <v>540</v>
      </c>
      <c r="F169" s="32">
        <v>80</v>
      </c>
      <c r="G169" s="11">
        <v>84</v>
      </c>
      <c r="H169" s="11"/>
      <c r="I169" s="13">
        <f t="shared" si="11"/>
        <v>84</v>
      </c>
      <c r="O169" s="16">
        <f t="shared" si="8"/>
        <v>84</v>
      </c>
      <c r="P169" s="17">
        <f t="shared" si="9"/>
        <v>0</v>
      </c>
      <c r="Q169" s="18">
        <f t="shared" si="10"/>
        <v>84</v>
      </c>
      <c r="W169" s="49">
        <v>84</v>
      </c>
    </row>
    <row r="170" spans="1:36" s="3" customFormat="1" x14ac:dyDescent="0.25">
      <c r="A170" s="21" t="s">
        <v>352</v>
      </c>
      <c r="B170" s="33" t="s">
        <v>178</v>
      </c>
      <c r="C170" s="34" t="s">
        <v>6</v>
      </c>
      <c r="D170" s="35" t="s">
        <v>19</v>
      </c>
      <c r="E170" s="31" t="s">
        <v>540</v>
      </c>
      <c r="F170" s="32">
        <v>1</v>
      </c>
      <c r="G170" s="11">
        <v>1</v>
      </c>
      <c r="H170" s="11"/>
      <c r="I170" s="13">
        <f t="shared" si="11"/>
        <v>1</v>
      </c>
      <c r="J170" s="3">
        <v>1</v>
      </c>
      <c r="O170" s="16">
        <f t="shared" si="8"/>
        <v>2</v>
      </c>
      <c r="P170" s="17">
        <f t="shared" si="9"/>
        <v>0</v>
      </c>
      <c r="Q170" s="18">
        <f t="shared" si="10"/>
        <v>2</v>
      </c>
      <c r="W170" s="49">
        <v>1</v>
      </c>
      <c r="AD170" s="49">
        <v>1</v>
      </c>
    </row>
    <row r="171" spans="1:36" s="3" customFormat="1" x14ac:dyDescent="0.25">
      <c r="A171" s="21">
        <v>3.6</v>
      </c>
      <c r="B171" s="36" t="s">
        <v>353</v>
      </c>
      <c r="C171" s="34"/>
      <c r="D171" s="35"/>
      <c r="E171" s="31"/>
      <c r="F171" s="32"/>
      <c r="G171" s="11"/>
      <c r="H171" s="11"/>
      <c r="I171" s="13">
        <f t="shared" si="11"/>
        <v>0</v>
      </c>
      <c r="O171" s="16">
        <f t="shared" si="8"/>
        <v>0</v>
      </c>
      <c r="P171" s="17">
        <f t="shared" si="9"/>
        <v>0</v>
      </c>
      <c r="Q171" s="18">
        <f t="shared" si="10"/>
        <v>0</v>
      </c>
    </row>
    <row r="172" spans="1:36" s="3" customFormat="1" x14ac:dyDescent="0.25">
      <c r="A172" s="21" t="s">
        <v>354</v>
      </c>
      <c r="B172" s="33" t="s">
        <v>355</v>
      </c>
      <c r="C172" s="34" t="s">
        <v>6</v>
      </c>
      <c r="D172" s="35" t="s">
        <v>19</v>
      </c>
      <c r="E172" s="31" t="s">
        <v>544</v>
      </c>
      <c r="F172" s="32"/>
      <c r="G172" s="11">
        <v>33</v>
      </c>
      <c r="H172" s="11"/>
      <c r="I172" s="13">
        <f t="shared" si="11"/>
        <v>33</v>
      </c>
      <c r="O172" s="16">
        <f t="shared" si="8"/>
        <v>33</v>
      </c>
      <c r="P172" s="17">
        <f t="shared" si="9"/>
        <v>0</v>
      </c>
      <c r="Q172" s="18">
        <f t="shared" si="10"/>
        <v>33</v>
      </c>
      <c r="S172" s="48">
        <v>33</v>
      </c>
    </row>
    <row r="173" spans="1:36" s="3" customFormat="1" x14ac:dyDescent="0.25">
      <c r="A173" s="21" t="s">
        <v>356</v>
      </c>
      <c r="B173" s="33" t="s">
        <v>357</v>
      </c>
      <c r="C173" s="34" t="s">
        <v>6</v>
      </c>
      <c r="D173" s="35" t="s">
        <v>19</v>
      </c>
      <c r="E173" s="31" t="s">
        <v>544</v>
      </c>
      <c r="F173" s="32"/>
      <c r="G173" s="11">
        <v>1</v>
      </c>
      <c r="H173" s="11"/>
      <c r="I173" s="13">
        <f t="shared" si="11"/>
        <v>1</v>
      </c>
      <c r="O173" s="16">
        <f t="shared" si="8"/>
        <v>1</v>
      </c>
      <c r="P173" s="17">
        <f t="shared" si="9"/>
        <v>0</v>
      </c>
      <c r="Q173" s="18">
        <f t="shared" si="10"/>
        <v>1</v>
      </c>
      <c r="S173" s="48">
        <v>1</v>
      </c>
    </row>
    <row r="174" spans="1:36" s="3" customFormat="1" x14ac:dyDescent="0.25">
      <c r="A174" s="21" t="s">
        <v>358</v>
      </c>
      <c r="B174" s="33" t="s">
        <v>359</v>
      </c>
      <c r="C174" s="34" t="s">
        <v>52</v>
      </c>
      <c r="D174" s="35" t="s">
        <v>19</v>
      </c>
      <c r="E174" s="31" t="s">
        <v>544</v>
      </c>
      <c r="F174" s="32"/>
      <c r="G174" s="11">
        <v>1</v>
      </c>
      <c r="H174" s="11"/>
      <c r="I174" s="13">
        <f t="shared" si="11"/>
        <v>1</v>
      </c>
      <c r="O174" s="16">
        <f t="shared" si="8"/>
        <v>1</v>
      </c>
      <c r="P174" s="17">
        <f t="shared" si="9"/>
        <v>0</v>
      </c>
      <c r="Q174" s="18">
        <f t="shared" si="10"/>
        <v>1</v>
      </c>
      <c r="X174" s="49">
        <v>1</v>
      </c>
    </row>
    <row r="175" spans="1:36" s="3" customFormat="1" x14ac:dyDescent="0.25">
      <c r="A175" s="21" t="s">
        <v>360</v>
      </c>
      <c r="B175" s="33" t="s">
        <v>361</v>
      </c>
      <c r="C175" s="34" t="s">
        <v>6</v>
      </c>
      <c r="D175" s="35" t="s">
        <v>19</v>
      </c>
      <c r="E175" s="31" t="s">
        <v>544</v>
      </c>
      <c r="F175" s="32"/>
      <c r="G175" s="11">
        <v>7</v>
      </c>
      <c r="H175" s="11"/>
      <c r="I175" s="13">
        <f t="shared" si="11"/>
        <v>7</v>
      </c>
      <c r="M175" s="3">
        <v>1</v>
      </c>
      <c r="O175" s="16">
        <f t="shared" si="8"/>
        <v>8</v>
      </c>
      <c r="P175" s="17">
        <f t="shared" si="9"/>
        <v>0</v>
      </c>
      <c r="Q175" s="18">
        <f t="shared" si="10"/>
        <v>8</v>
      </c>
      <c r="S175" s="48">
        <v>7</v>
      </c>
      <c r="AJ175" s="49">
        <v>1</v>
      </c>
    </row>
    <row r="176" spans="1:36" s="3" customFormat="1" x14ac:dyDescent="0.25">
      <c r="A176" s="21" t="s">
        <v>362</v>
      </c>
      <c r="B176" s="33" t="s">
        <v>363</v>
      </c>
      <c r="C176" s="34" t="s">
        <v>6</v>
      </c>
      <c r="D176" s="35" t="s">
        <v>19</v>
      </c>
      <c r="E176" s="31" t="s">
        <v>544</v>
      </c>
      <c r="F176" s="32"/>
      <c r="G176" s="11">
        <v>6</v>
      </c>
      <c r="H176" s="11"/>
      <c r="I176" s="13">
        <f t="shared" si="11"/>
        <v>6</v>
      </c>
      <c r="O176" s="16">
        <f t="shared" si="8"/>
        <v>6</v>
      </c>
      <c r="P176" s="17">
        <f t="shared" si="9"/>
        <v>0</v>
      </c>
      <c r="Q176" s="18">
        <f t="shared" si="10"/>
        <v>6</v>
      </c>
      <c r="S176" s="48">
        <v>6</v>
      </c>
    </row>
    <row r="177" spans="1:38" s="3" customFormat="1" x14ac:dyDescent="0.25">
      <c r="A177" s="21" t="s">
        <v>364</v>
      </c>
      <c r="B177" s="33" t="s">
        <v>365</v>
      </c>
      <c r="C177" s="34" t="s">
        <v>6</v>
      </c>
      <c r="D177" s="35" t="s">
        <v>19</v>
      </c>
      <c r="E177" s="31" t="s">
        <v>544</v>
      </c>
      <c r="F177" s="32"/>
      <c r="G177" s="11">
        <v>3</v>
      </c>
      <c r="H177" s="11"/>
      <c r="I177" s="13">
        <f t="shared" si="11"/>
        <v>3</v>
      </c>
      <c r="N177" s="3">
        <v>1</v>
      </c>
      <c r="O177" s="16">
        <f t="shared" si="8"/>
        <v>4</v>
      </c>
      <c r="P177" s="17">
        <f t="shared" si="9"/>
        <v>0</v>
      </c>
      <c r="Q177" s="18">
        <f t="shared" si="10"/>
        <v>4</v>
      </c>
      <c r="S177" s="48">
        <v>3</v>
      </c>
      <c r="AK177" s="49">
        <v>1</v>
      </c>
    </row>
    <row r="178" spans="1:38" s="3" customFormat="1" x14ac:dyDescent="0.25">
      <c r="A178" s="21" t="s">
        <v>366</v>
      </c>
      <c r="B178" s="33" t="s">
        <v>367</v>
      </c>
      <c r="C178" s="34" t="s">
        <v>6</v>
      </c>
      <c r="D178" s="35" t="s">
        <v>19</v>
      </c>
      <c r="E178" s="31" t="s">
        <v>544</v>
      </c>
      <c r="F178" s="32"/>
      <c r="G178" s="11">
        <v>1</v>
      </c>
      <c r="H178" s="11"/>
      <c r="I178" s="13">
        <f t="shared" si="11"/>
        <v>1</v>
      </c>
      <c r="O178" s="16">
        <f t="shared" si="8"/>
        <v>1</v>
      </c>
      <c r="P178" s="17">
        <f t="shared" si="9"/>
        <v>0</v>
      </c>
      <c r="Q178" s="18">
        <f t="shared" si="10"/>
        <v>1</v>
      </c>
      <c r="S178" s="48">
        <v>1</v>
      </c>
    </row>
    <row r="179" spans="1:38" s="3" customFormat="1" x14ac:dyDescent="0.25">
      <c r="A179" s="21" t="s">
        <v>368</v>
      </c>
      <c r="B179" s="33" t="s">
        <v>369</v>
      </c>
      <c r="C179" s="34" t="s">
        <v>52</v>
      </c>
      <c r="D179" s="35" t="s">
        <v>19</v>
      </c>
      <c r="E179" s="31" t="s">
        <v>544</v>
      </c>
      <c r="F179" s="32"/>
      <c r="G179" s="11">
        <v>3</v>
      </c>
      <c r="H179" s="11"/>
      <c r="I179" s="13">
        <f t="shared" si="11"/>
        <v>3</v>
      </c>
      <c r="N179" s="3">
        <v>1</v>
      </c>
      <c r="O179" s="16">
        <f t="shared" si="8"/>
        <v>4</v>
      </c>
      <c r="P179" s="17">
        <f t="shared" si="9"/>
        <v>0</v>
      </c>
      <c r="Q179" s="18">
        <f t="shared" si="10"/>
        <v>4</v>
      </c>
      <c r="X179" s="49">
        <v>3</v>
      </c>
      <c r="AL179" s="3">
        <v>1</v>
      </c>
    </row>
    <row r="180" spans="1:38" s="3" customFormat="1" x14ac:dyDescent="0.25">
      <c r="A180" s="21" t="s">
        <v>370</v>
      </c>
      <c r="B180" s="33" t="s">
        <v>371</v>
      </c>
      <c r="C180" s="34" t="s">
        <v>6</v>
      </c>
      <c r="D180" s="35" t="s">
        <v>19</v>
      </c>
      <c r="E180" s="31" t="s">
        <v>544</v>
      </c>
      <c r="F180" s="32"/>
      <c r="G180" s="11">
        <v>2</v>
      </c>
      <c r="H180" s="11"/>
      <c r="I180" s="13">
        <f t="shared" si="11"/>
        <v>2</v>
      </c>
      <c r="N180" s="3">
        <v>1</v>
      </c>
      <c r="O180" s="16">
        <f t="shared" si="8"/>
        <v>3</v>
      </c>
      <c r="P180" s="17">
        <f t="shared" si="9"/>
        <v>0</v>
      </c>
      <c r="Q180" s="18">
        <f t="shared" si="10"/>
        <v>3</v>
      </c>
      <c r="S180" s="48">
        <v>2</v>
      </c>
      <c r="AK180" s="49">
        <v>1</v>
      </c>
    </row>
    <row r="181" spans="1:38" s="3" customFormat="1" x14ac:dyDescent="0.25">
      <c r="A181" s="21" t="s">
        <v>372</v>
      </c>
      <c r="B181" s="33" t="s">
        <v>373</v>
      </c>
      <c r="C181" s="34" t="s">
        <v>52</v>
      </c>
      <c r="D181" s="35" t="s">
        <v>19</v>
      </c>
      <c r="E181" s="31" t="s">
        <v>544</v>
      </c>
      <c r="F181" s="32"/>
      <c r="G181" s="11">
        <v>1</v>
      </c>
      <c r="H181" s="11"/>
      <c r="I181" s="13">
        <f t="shared" si="11"/>
        <v>1</v>
      </c>
      <c r="O181" s="16">
        <f t="shared" si="8"/>
        <v>1</v>
      </c>
      <c r="P181" s="17">
        <f t="shared" si="9"/>
        <v>0</v>
      </c>
      <c r="Q181" s="18">
        <f t="shared" si="10"/>
        <v>1</v>
      </c>
      <c r="X181" s="49">
        <v>1</v>
      </c>
    </row>
    <row r="182" spans="1:38" s="3" customFormat="1" x14ac:dyDescent="0.25">
      <c r="A182" s="21" t="s">
        <v>374</v>
      </c>
      <c r="B182" s="33" t="s">
        <v>375</v>
      </c>
      <c r="C182" s="34" t="s">
        <v>52</v>
      </c>
      <c r="D182" s="35" t="s">
        <v>19</v>
      </c>
      <c r="E182" s="31" t="s">
        <v>544</v>
      </c>
      <c r="F182" s="32"/>
      <c r="G182" s="11">
        <v>1</v>
      </c>
      <c r="H182" s="11"/>
      <c r="I182" s="13">
        <f t="shared" si="11"/>
        <v>1</v>
      </c>
      <c r="O182" s="16">
        <f t="shared" si="8"/>
        <v>1</v>
      </c>
      <c r="P182" s="17">
        <f t="shared" si="9"/>
        <v>0</v>
      </c>
      <c r="Q182" s="18">
        <f t="shared" si="10"/>
        <v>1</v>
      </c>
      <c r="X182" s="49">
        <v>1</v>
      </c>
    </row>
    <row r="183" spans="1:38" s="3" customFormat="1" x14ac:dyDescent="0.25">
      <c r="A183" s="21" t="s">
        <v>376</v>
      </c>
      <c r="B183" s="33" t="s">
        <v>377</v>
      </c>
      <c r="C183" s="34" t="s">
        <v>52</v>
      </c>
      <c r="D183" s="35" t="s">
        <v>19</v>
      </c>
      <c r="E183" s="31" t="s">
        <v>544</v>
      </c>
      <c r="F183" s="32"/>
      <c r="G183" s="11">
        <v>1</v>
      </c>
      <c r="H183" s="11"/>
      <c r="I183" s="13">
        <f t="shared" si="11"/>
        <v>1</v>
      </c>
      <c r="O183" s="16">
        <f t="shared" si="8"/>
        <v>1</v>
      </c>
      <c r="P183" s="17">
        <f t="shared" si="9"/>
        <v>0</v>
      </c>
      <c r="Q183" s="18">
        <f t="shared" si="10"/>
        <v>1</v>
      </c>
      <c r="X183" s="49">
        <v>1</v>
      </c>
    </row>
    <row r="184" spans="1:38" s="3" customFormat="1" x14ac:dyDescent="0.25">
      <c r="A184" s="21" t="s">
        <v>378</v>
      </c>
      <c r="B184" s="33" t="s">
        <v>379</v>
      </c>
      <c r="C184" s="34" t="s">
        <v>52</v>
      </c>
      <c r="D184" s="35" t="s">
        <v>19</v>
      </c>
      <c r="E184" s="31" t="s">
        <v>544</v>
      </c>
      <c r="F184" s="32"/>
      <c r="G184" s="11">
        <v>2</v>
      </c>
      <c r="H184" s="11"/>
      <c r="I184" s="13">
        <f t="shared" si="11"/>
        <v>2</v>
      </c>
      <c r="O184" s="16">
        <f t="shared" si="8"/>
        <v>2</v>
      </c>
      <c r="P184" s="17">
        <f t="shared" si="9"/>
        <v>0</v>
      </c>
      <c r="Q184" s="18">
        <f t="shared" si="10"/>
        <v>2</v>
      </c>
      <c r="X184" s="49">
        <v>2</v>
      </c>
    </row>
    <row r="185" spans="1:38" s="3" customFormat="1" x14ac:dyDescent="0.25">
      <c r="A185" s="21" t="s">
        <v>380</v>
      </c>
      <c r="B185" s="33" t="s">
        <v>381</v>
      </c>
      <c r="C185" s="34" t="s">
        <v>52</v>
      </c>
      <c r="D185" s="35" t="s">
        <v>19</v>
      </c>
      <c r="E185" s="31" t="s">
        <v>544</v>
      </c>
      <c r="F185" s="32"/>
      <c r="G185" s="11">
        <v>1</v>
      </c>
      <c r="H185" s="11"/>
      <c r="I185" s="13">
        <f t="shared" si="11"/>
        <v>1</v>
      </c>
      <c r="O185" s="16">
        <f t="shared" si="8"/>
        <v>1</v>
      </c>
      <c r="P185" s="17">
        <f t="shared" si="9"/>
        <v>0</v>
      </c>
      <c r="Q185" s="18">
        <f t="shared" si="10"/>
        <v>1</v>
      </c>
      <c r="X185" s="49">
        <v>1</v>
      </c>
    </row>
    <row r="186" spans="1:38" s="3" customFormat="1" x14ac:dyDescent="0.25">
      <c r="A186" s="21" t="s">
        <v>382</v>
      </c>
      <c r="B186" s="33" t="s">
        <v>383</v>
      </c>
      <c r="C186" s="34" t="s">
        <v>6</v>
      </c>
      <c r="D186" s="35" t="s">
        <v>19</v>
      </c>
      <c r="E186" s="31" t="s">
        <v>544</v>
      </c>
      <c r="F186" s="32">
        <v>53</v>
      </c>
      <c r="G186" s="11">
        <v>62</v>
      </c>
      <c r="H186" s="11"/>
      <c r="I186" s="13">
        <f t="shared" si="11"/>
        <v>62</v>
      </c>
      <c r="O186" s="16">
        <f t="shared" si="8"/>
        <v>62</v>
      </c>
      <c r="P186" s="17">
        <f t="shared" si="9"/>
        <v>0</v>
      </c>
      <c r="Q186" s="18">
        <f t="shared" si="10"/>
        <v>62</v>
      </c>
      <c r="S186" s="48">
        <v>62</v>
      </c>
    </row>
    <row r="187" spans="1:38" s="3" customFormat="1" x14ac:dyDescent="0.25">
      <c r="A187" s="21" t="s">
        <v>384</v>
      </c>
      <c r="B187" s="33" t="s">
        <v>385</v>
      </c>
      <c r="C187" s="34" t="s">
        <v>6</v>
      </c>
      <c r="D187" s="35" t="s">
        <v>19</v>
      </c>
      <c r="E187" s="31" t="s">
        <v>544</v>
      </c>
      <c r="F187" s="32">
        <v>4</v>
      </c>
      <c r="G187" s="11">
        <v>4</v>
      </c>
      <c r="H187" s="11">
        <v>3</v>
      </c>
      <c r="I187" s="13">
        <f t="shared" si="11"/>
        <v>1</v>
      </c>
      <c r="O187" s="16">
        <f t="shared" si="8"/>
        <v>1</v>
      </c>
      <c r="P187" s="17">
        <f t="shared" si="9"/>
        <v>0</v>
      </c>
      <c r="Q187" s="18">
        <f t="shared" si="10"/>
        <v>1</v>
      </c>
      <c r="S187" s="48">
        <v>1</v>
      </c>
    </row>
    <row r="188" spans="1:38" s="3" customFormat="1" x14ac:dyDescent="0.25">
      <c r="A188" s="21" t="s">
        <v>386</v>
      </c>
      <c r="B188" s="33" t="s">
        <v>387</v>
      </c>
      <c r="C188" s="34" t="s">
        <v>52</v>
      </c>
      <c r="D188" s="35" t="s">
        <v>19</v>
      </c>
      <c r="E188" s="31" t="s">
        <v>544</v>
      </c>
      <c r="F188" s="32">
        <v>6</v>
      </c>
      <c r="G188" s="11">
        <v>6</v>
      </c>
      <c r="H188" s="11"/>
      <c r="I188" s="13">
        <f t="shared" si="11"/>
        <v>6</v>
      </c>
      <c r="O188" s="16">
        <f t="shared" si="8"/>
        <v>6</v>
      </c>
      <c r="P188" s="17">
        <f t="shared" si="9"/>
        <v>0</v>
      </c>
      <c r="Q188" s="18">
        <f t="shared" si="10"/>
        <v>6</v>
      </c>
      <c r="X188" s="49">
        <v>6</v>
      </c>
    </row>
    <row r="189" spans="1:38" s="3" customFormat="1" x14ac:dyDescent="0.25">
      <c r="A189" s="21" t="s">
        <v>388</v>
      </c>
      <c r="B189" s="33" t="s">
        <v>389</v>
      </c>
      <c r="C189" s="34" t="s">
        <v>6</v>
      </c>
      <c r="D189" s="35" t="s">
        <v>19</v>
      </c>
      <c r="E189" s="31" t="s">
        <v>544</v>
      </c>
      <c r="F189" s="32">
        <v>1</v>
      </c>
      <c r="G189" s="11">
        <v>1</v>
      </c>
      <c r="H189" s="11">
        <v>1</v>
      </c>
      <c r="I189" s="13">
        <f t="shared" si="11"/>
        <v>0</v>
      </c>
      <c r="O189" s="16">
        <f t="shared" si="8"/>
        <v>0</v>
      </c>
      <c r="P189" s="17">
        <f t="shared" si="9"/>
        <v>0</v>
      </c>
      <c r="Q189" s="18">
        <f t="shared" si="10"/>
        <v>0</v>
      </c>
    </row>
    <row r="190" spans="1:38" s="3" customFormat="1" x14ac:dyDescent="0.25">
      <c r="A190" s="21" t="s">
        <v>390</v>
      </c>
      <c r="B190" s="33" t="s">
        <v>391</v>
      </c>
      <c r="C190" s="34" t="s">
        <v>52</v>
      </c>
      <c r="D190" s="35" t="s">
        <v>19</v>
      </c>
      <c r="E190" s="31" t="s">
        <v>544</v>
      </c>
      <c r="F190" s="32">
        <v>16</v>
      </c>
      <c r="G190" s="11">
        <v>16</v>
      </c>
      <c r="H190" s="11"/>
      <c r="I190" s="13">
        <f t="shared" si="11"/>
        <v>16</v>
      </c>
      <c r="O190" s="16">
        <f t="shared" si="8"/>
        <v>16</v>
      </c>
      <c r="P190" s="17">
        <f t="shared" si="9"/>
        <v>0</v>
      </c>
      <c r="Q190" s="18">
        <f t="shared" si="10"/>
        <v>16</v>
      </c>
      <c r="X190" s="49">
        <v>16</v>
      </c>
    </row>
    <row r="191" spans="1:38" s="3" customFormat="1" x14ac:dyDescent="0.25">
      <c r="A191" s="21" t="s">
        <v>392</v>
      </c>
      <c r="B191" s="33" t="s">
        <v>393</v>
      </c>
      <c r="C191" s="34" t="s">
        <v>6</v>
      </c>
      <c r="D191" s="35" t="s">
        <v>19</v>
      </c>
      <c r="E191" s="31" t="s">
        <v>544</v>
      </c>
      <c r="F191" s="32">
        <v>58</v>
      </c>
      <c r="G191" s="11">
        <v>70</v>
      </c>
      <c r="H191" s="11"/>
      <c r="I191" s="13">
        <f t="shared" si="11"/>
        <v>70</v>
      </c>
      <c r="O191" s="16">
        <f t="shared" si="8"/>
        <v>70</v>
      </c>
      <c r="P191" s="17">
        <f t="shared" si="9"/>
        <v>0</v>
      </c>
      <c r="Q191" s="18">
        <f t="shared" si="10"/>
        <v>70</v>
      </c>
      <c r="S191" s="48">
        <v>70</v>
      </c>
    </row>
    <row r="192" spans="1:38" s="3" customFormat="1" x14ac:dyDescent="0.25">
      <c r="A192" s="21" t="s">
        <v>394</v>
      </c>
      <c r="B192" s="33" t="s">
        <v>395</v>
      </c>
      <c r="C192" s="34" t="s">
        <v>52</v>
      </c>
      <c r="D192" s="35" t="s">
        <v>19</v>
      </c>
      <c r="E192" s="31" t="s">
        <v>544</v>
      </c>
      <c r="F192" s="32">
        <v>1</v>
      </c>
      <c r="G192" s="11">
        <v>1</v>
      </c>
      <c r="H192" s="11"/>
      <c r="I192" s="13">
        <f t="shared" si="11"/>
        <v>1</v>
      </c>
      <c r="O192" s="16">
        <f t="shared" si="8"/>
        <v>1</v>
      </c>
      <c r="P192" s="17">
        <f t="shared" si="9"/>
        <v>0</v>
      </c>
      <c r="Q192" s="18">
        <f t="shared" si="10"/>
        <v>1</v>
      </c>
      <c r="X192" s="49">
        <v>1</v>
      </c>
    </row>
    <row r="193" spans="1:24" s="3" customFormat="1" x14ac:dyDescent="0.25">
      <c r="A193" s="21" t="s">
        <v>396</v>
      </c>
      <c r="B193" s="33" t="s">
        <v>397</v>
      </c>
      <c r="C193" s="34" t="s">
        <v>52</v>
      </c>
      <c r="D193" s="35" t="s">
        <v>19</v>
      </c>
      <c r="E193" s="31" t="s">
        <v>544</v>
      </c>
      <c r="F193" s="32">
        <v>13</v>
      </c>
      <c r="G193" s="11">
        <v>13</v>
      </c>
      <c r="H193" s="11"/>
      <c r="I193" s="13">
        <f t="shared" si="11"/>
        <v>13</v>
      </c>
      <c r="O193" s="16">
        <f t="shared" si="8"/>
        <v>13</v>
      </c>
      <c r="P193" s="17">
        <f t="shared" si="9"/>
        <v>0</v>
      </c>
      <c r="Q193" s="18">
        <f t="shared" si="10"/>
        <v>13</v>
      </c>
      <c r="X193" s="49">
        <v>13</v>
      </c>
    </row>
    <row r="194" spans="1:24" s="3" customFormat="1" x14ac:dyDescent="0.25">
      <c r="A194" s="21" t="s">
        <v>398</v>
      </c>
      <c r="B194" s="33" t="s">
        <v>399</v>
      </c>
      <c r="C194" s="34" t="s">
        <v>6</v>
      </c>
      <c r="D194" s="35" t="s">
        <v>19</v>
      </c>
      <c r="E194" s="31" t="s">
        <v>544</v>
      </c>
      <c r="F194" s="32">
        <v>62</v>
      </c>
      <c r="G194" s="11">
        <v>77</v>
      </c>
      <c r="H194" s="11"/>
      <c r="I194" s="13">
        <f t="shared" si="11"/>
        <v>77</v>
      </c>
      <c r="O194" s="16">
        <f t="shared" si="8"/>
        <v>77</v>
      </c>
      <c r="P194" s="17">
        <f t="shared" si="9"/>
        <v>0</v>
      </c>
      <c r="Q194" s="18">
        <f t="shared" si="10"/>
        <v>77</v>
      </c>
      <c r="X194" s="49">
        <v>77</v>
      </c>
    </row>
    <row r="195" spans="1:24" s="3" customFormat="1" x14ac:dyDescent="0.25">
      <c r="A195" s="21" t="s">
        <v>400</v>
      </c>
      <c r="B195" s="33" t="s">
        <v>401</v>
      </c>
      <c r="C195" s="34" t="s">
        <v>52</v>
      </c>
      <c r="D195" s="35" t="s">
        <v>19</v>
      </c>
      <c r="E195" s="31" t="s">
        <v>544</v>
      </c>
      <c r="F195" s="32">
        <v>2</v>
      </c>
      <c r="G195" s="11">
        <v>2</v>
      </c>
      <c r="H195" s="11"/>
      <c r="I195" s="13">
        <f t="shared" si="11"/>
        <v>2</v>
      </c>
      <c r="O195" s="16">
        <f t="shared" si="8"/>
        <v>2</v>
      </c>
      <c r="P195" s="17">
        <f t="shared" si="9"/>
        <v>0</v>
      </c>
      <c r="Q195" s="18">
        <f t="shared" si="10"/>
        <v>2</v>
      </c>
      <c r="X195" s="49">
        <v>2</v>
      </c>
    </row>
    <row r="196" spans="1:24" s="3" customFormat="1" x14ac:dyDescent="0.25">
      <c r="A196" s="21" t="s">
        <v>402</v>
      </c>
      <c r="B196" s="33" t="s">
        <v>403</v>
      </c>
      <c r="C196" s="34" t="s">
        <v>6</v>
      </c>
      <c r="D196" s="35" t="s">
        <v>19</v>
      </c>
      <c r="E196" s="31" t="s">
        <v>544</v>
      </c>
      <c r="F196" s="32">
        <v>15</v>
      </c>
      <c r="G196" s="11">
        <v>15</v>
      </c>
      <c r="H196" s="11">
        <v>3</v>
      </c>
      <c r="I196" s="13">
        <f t="shared" si="11"/>
        <v>12</v>
      </c>
      <c r="O196" s="16">
        <f t="shared" ref="O196:O235" si="12">SUM(I196:N196)</f>
        <v>12</v>
      </c>
      <c r="P196" s="17">
        <f t="shared" si="9"/>
        <v>0</v>
      </c>
      <c r="Q196" s="18">
        <f t="shared" si="10"/>
        <v>12</v>
      </c>
      <c r="X196" s="49">
        <v>12</v>
      </c>
    </row>
    <row r="197" spans="1:24" s="3" customFormat="1" x14ac:dyDescent="0.25">
      <c r="A197" s="21" t="s">
        <v>404</v>
      </c>
      <c r="B197" s="33" t="s">
        <v>405</v>
      </c>
      <c r="C197" s="34" t="s">
        <v>52</v>
      </c>
      <c r="D197" s="35" t="s">
        <v>19</v>
      </c>
      <c r="E197" s="31" t="s">
        <v>544</v>
      </c>
      <c r="F197" s="32">
        <v>9</v>
      </c>
      <c r="G197" s="11">
        <v>9</v>
      </c>
      <c r="H197" s="11"/>
      <c r="I197" s="13">
        <f t="shared" si="11"/>
        <v>9</v>
      </c>
      <c r="O197" s="16">
        <f t="shared" si="12"/>
        <v>9</v>
      </c>
      <c r="P197" s="17">
        <f t="shared" ref="P197:P260" si="13">+Q197-O197</f>
        <v>0</v>
      </c>
      <c r="Q197" s="18">
        <f t="shared" ref="Q197:Q260" si="14">SUM(R197:EF197)</f>
        <v>9</v>
      </c>
      <c r="X197" s="49">
        <v>9</v>
      </c>
    </row>
    <row r="198" spans="1:24" s="3" customFormat="1" x14ac:dyDescent="0.25">
      <c r="A198" s="21" t="s">
        <v>406</v>
      </c>
      <c r="B198" s="33" t="s">
        <v>407</v>
      </c>
      <c r="C198" s="34" t="s">
        <v>6</v>
      </c>
      <c r="D198" s="35" t="s">
        <v>19</v>
      </c>
      <c r="E198" s="31" t="s">
        <v>544</v>
      </c>
      <c r="F198" s="32">
        <v>35</v>
      </c>
      <c r="G198" s="11">
        <v>35</v>
      </c>
      <c r="H198" s="11">
        <v>3</v>
      </c>
      <c r="I198" s="13">
        <f t="shared" ref="I198:I268" si="15">+G198-H198</f>
        <v>32</v>
      </c>
      <c r="O198" s="16">
        <f t="shared" si="12"/>
        <v>32</v>
      </c>
      <c r="P198" s="17">
        <f t="shared" si="13"/>
        <v>0</v>
      </c>
      <c r="Q198" s="18">
        <f t="shared" si="14"/>
        <v>32</v>
      </c>
      <c r="X198" s="49">
        <v>32</v>
      </c>
    </row>
    <row r="199" spans="1:24" s="3" customFormat="1" x14ac:dyDescent="0.25">
      <c r="A199" s="21" t="s">
        <v>408</v>
      </c>
      <c r="B199" s="33" t="s">
        <v>409</v>
      </c>
      <c r="C199" s="34" t="s">
        <v>52</v>
      </c>
      <c r="D199" s="35" t="s">
        <v>19</v>
      </c>
      <c r="E199" s="31" t="s">
        <v>544</v>
      </c>
      <c r="F199" s="32">
        <v>30</v>
      </c>
      <c r="G199" s="11">
        <v>30</v>
      </c>
      <c r="H199" s="11"/>
      <c r="I199" s="13">
        <f t="shared" si="15"/>
        <v>30</v>
      </c>
      <c r="O199" s="16">
        <f t="shared" si="12"/>
        <v>30</v>
      </c>
      <c r="P199" s="17">
        <f t="shared" si="13"/>
        <v>0</v>
      </c>
      <c r="Q199" s="18">
        <f t="shared" si="14"/>
        <v>30</v>
      </c>
      <c r="X199" s="49">
        <v>30</v>
      </c>
    </row>
    <row r="200" spans="1:24" s="3" customFormat="1" x14ac:dyDescent="0.25">
      <c r="A200" s="21" t="s">
        <v>410</v>
      </c>
      <c r="B200" s="33" t="s">
        <v>411</v>
      </c>
      <c r="C200" s="34" t="s">
        <v>6</v>
      </c>
      <c r="D200" s="35" t="s">
        <v>19</v>
      </c>
      <c r="E200" s="31" t="s">
        <v>544</v>
      </c>
      <c r="F200" s="32">
        <v>29</v>
      </c>
      <c r="G200" s="11">
        <v>29</v>
      </c>
      <c r="H200" s="11">
        <v>1</v>
      </c>
      <c r="I200" s="13">
        <f t="shared" si="15"/>
        <v>28</v>
      </c>
      <c r="O200" s="16">
        <f t="shared" si="12"/>
        <v>28</v>
      </c>
      <c r="P200" s="17">
        <f t="shared" si="13"/>
        <v>0</v>
      </c>
      <c r="Q200" s="18">
        <f t="shared" si="14"/>
        <v>28</v>
      </c>
      <c r="X200" s="49">
        <v>28</v>
      </c>
    </row>
    <row r="201" spans="1:24" s="3" customFormat="1" x14ac:dyDescent="0.25">
      <c r="A201" s="21" t="s">
        <v>412</v>
      </c>
      <c r="B201" s="33" t="s">
        <v>413</v>
      </c>
      <c r="C201" s="34" t="s">
        <v>52</v>
      </c>
      <c r="D201" s="35" t="s">
        <v>19</v>
      </c>
      <c r="E201" s="31" t="s">
        <v>544</v>
      </c>
      <c r="F201" s="32">
        <v>9</v>
      </c>
      <c r="G201" s="11">
        <v>9</v>
      </c>
      <c r="H201" s="11">
        <v>1</v>
      </c>
      <c r="I201" s="13">
        <f t="shared" si="15"/>
        <v>8</v>
      </c>
      <c r="O201" s="16">
        <f t="shared" si="12"/>
        <v>8</v>
      </c>
      <c r="P201" s="17">
        <f t="shared" si="13"/>
        <v>0</v>
      </c>
      <c r="Q201" s="18">
        <f t="shared" si="14"/>
        <v>8</v>
      </c>
      <c r="X201" s="49">
        <v>8</v>
      </c>
    </row>
    <row r="202" spans="1:24" s="3" customFormat="1" x14ac:dyDescent="0.25">
      <c r="A202" s="21" t="s">
        <v>414</v>
      </c>
      <c r="B202" s="33" t="s">
        <v>415</v>
      </c>
      <c r="C202" s="34" t="s">
        <v>6</v>
      </c>
      <c r="D202" s="35" t="s">
        <v>19</v>
      </c>
      <c r="E202" s="31" t="s">
        <v>544</v>
      </c>
      <c r="F202" s="32">
        <v>5</v>
      </c>
      <c r="G202" s="11">
        <v>5</v>
      </c>
      <c r="H202" s="11"/>
      <c r="I202" s="13">
        <f t="shared" si="15"/>
        <v>5</v>
      </c>
      <c r="O202" s="16">
        <f t="shared" si="12"/>
        <v>5</v>
      </c>
      <c r="P202" s="17">
        <f t="shared" si="13"/>
        <v>0</v>
      </c>
      <c r="Q202" s="18">
        <f t="shared" si="14"/>
        <v>5</v>
      </c>
      <c r="X202" s="49">
        <v>5</v>
      </c>
    </row>
    <row r="203" spans="1:24" s="3" customFormat="1" x14ac:dyDescent="0.25">
      <c r="A203" s="21" t="s">
        <v>416</v>
      </c>
      <c r="B203" s="33" t="s">
        <v>417</v>
      </c>
      <c r="C203" s="34" t="s">
        <v>6</v>
      </c>
      <c r="D203" s="35" t="s">
        <v>19</v>
      </c>
      <c r="E203" s="31" t="s">
        <v>544</v>
      </c>
      <c r="F203" s="32">
        <v>6</v>
      </c>
      <c r="G203" s="11">
        <v>6</v>
      </c>
      <c r="H203" s="11"/>
      <c r="I203" s="13">
        <f t="shared" si="15"/>
        <v>6</v>
      </c>
      <c r="O203" s="16">
        <f t="shared" si="12"/>
        <v>6</v>
      </c>
      <c r="P203" s="17">
        <f t="shared" si="13"/>
        <v>0</v>
      </c>
      <c r="Q203" s="18">
        <f t="shared" si="14"/>
        <v>6</v>
      </c>
      <c r="S203" s="48">
        <v>6</v>
      </c>
    </row>
    <row r="204" spans="1:24" s="3" customFormat="1" x14ac:dyDescent="0.25">
      <c r="A204" s="21" t="s">
        <v>418</v>
      </c>
      <c r="B204" s="33" t="s">
        <v>419</v>
      </c>
      <c r="C204" s="34" t="s">
        <v>52</v>
      </c>
      <c r="D204" s="35" t="s">
        <v>19</v>
      </c>
      <c r="E204" s="31" t="s">
        <v>544</v>
      </c>
      <c r="F204" s="32">
        <v>1</v>
      </c>
      <c r="G204" s="11">
        <v>1</v>
      </c>
      <c r="H204" s="11"/>
      <c r="I204" s="13">
        <f t="shared" si="15"/>
        <v>1</v>
      </c>
      <c r="O204" s="16">
        <f t="shared" si="12"/>
        <v>1</v>
      </c>
      <c r="P204" s="17">
        <f t="shared" si="13"/>
        <v>0</v>
      </c>
      <c r="Q204" s="18">
        <f t="shared" si="14"/>
        <v>1</v>
      </c>
      <c r="X204" s="49">
        <v>1</v>
      </c>
    </row>
    <row r="205" spans="1:24" s="3" customFormat="1" x14ac:dyDescent="0.25">
      <c r="A205" s="21" t="s">
        <v>420</v>
      </c>
      <c r="B205" s="33" t="s">
        <v>421</v>
      </c>
      <c r="C205" s="34" t="s">
        <v>52</v>
      </c>
      <c r="D205" s="35" t="s">
        <v>19</v>
      </c>
      <c r="E205" s="31" t="s">
        <v>544</v>
      </c>
      <c r="F205" s="32">
        <v>2</v>
      </c>
      <c r="G205" s="11">
        <v>2</v>
      </c>
      <c r="H205" s="11"/>
      <c r="I205" s="13">
        <f t="shared" si="15"/>
        <v>2</v>
      </c>
      <c r="O205" s="16">
        <f t="shared" si="12"/>
        <v>2</v>
      </c>
      <c r="P205" s="17">
        <f t="shared" si="13"/>
        <v>0</v>
      </c>
      <c r="Q205" s="18">
        <f t="shared" si="14"/>
        <v>2</v>
      </c>
      <c r="X205" s="49">
        <v>2</v>
      </c>
    </row>
    <row r="206" spans="1:24" s="3" customFormat="1" x14ac:dyDescent="0.25">
      <c r="A206" s="21" t="s">
        <v>422</v>
      </c>
      <c r="B206" s="33" t="s">
        <v>423</v>
      </c>
      <c r="C206" s="34" t="s">
        <v>52</v>
      </c>
      <c r="D206" s="35" t="s">
        <v>19</v>
      </c>
      <c r="E206" s="31" t="s">
        <v>544</v>
      </c>
      <c r="F206" s="32">
        <v>16</v>
      </c>
      <c r="G206" s="11">
        <v>16</v>
      </c>
      <c r="H206" s="11"/>
      <c r="I206" s="13">
        <f t="shared" si="15"/>
        <v>16</v>
      </c>
      <c r="O206" s="16">
        <f t="shared" si="12"/>
        <v>16</v>
      </c>
      <c r="P206" s="17">
        <f t="shared" si="13"/>
        <v>0</v>
      </c>
      <c r="Q206" s="18">
        <f t="shared" si="14"/>
        <v>16</v>
      </c>
      <c r="X206" s="49">
        <v>16</v>
      </c>
    </row>
    <row r="207" spans="1:24" s="3" customFormat="1" x14ac:dyDescent="0.25">
      <c r="A207" s="21" t="s">
        <v>424</v>
      </c>
      <c r="B207" s="33" t="s">
        <v>425</v>
      </c>
      <c r="C207" s="34" t="s">
        <v>52</v>
      </c>
      <c r="D207" s="35" t="s">
        <v>19</v>
      </c>
      <c r="E207" s="31" t="s">
        <v>544</v>
      </c>
      <c r="F207" s="32">
        <v>19</v>
      </c>
      <c r="G207" s="11">
        <v>19</v>
      </c>
      <c r="H207" s="11"/>
      <c r="I207" s="13">
        <f t="shared" si="15"/>
        <v>19</v>
      </c>
      <c r="O207" s="16">
        <f t="shared" si="12"/>
        <v>19</v>
      </c>
      <c r="P207" s="17">
        <f t="shared" si="13"/>
        <v>0</v>
      </c>
      <c r="Q207" s="18">
        <f t="shared" si="14"/>
        <v>19</v>
      </c>
      <c r="X207" s="49">
        <v>19</v>
      </c>
    </row>
    <row r="208" spans="1:24" s="3" customFormat="1" x14ac:dyDescent="0.25">
      <c r="A208" s="21" t="s">
        <v>554</v>
      </c>
      <c r="B208" s="33" t="s">
        <v>426</v>
      </c>
      <c r="C208" s="34" t="s">
        <v>52</v>
      </c>
      <c r="D208" s="35" t="s">
        <v>19</v>
      </c>
      <c r="E208" s="31" t="s">
        <v>544</v>
      </c>
      <c r="F208" s="32">
        <v>2</v>
      </c>
      <c r="G208" s="11">
        <v>2</v>
      </c>
      <c r="H208" s="11"/>
      <c r="I208" s="13">
        <f t="shared" si="15"/>
        <v>2</v>
      </c>
      <c r="O208" s="16">
        <f t="shared" si="12"/>
        <v>2</v>
      </c>
      <c r="P208" s="17">
        <f t="shared" si="13"/>
        <v>0</v>
      </c>
      <c r="Q208" s="18">
        <f t="shared" si="14"/>
        <v>2</v>
      </c>
      <c r="X208" s="49">
        <v>2</v>
      </c>
    </row>
    <row r="209" spans="1:36" s="3" customFormat="1" x14ac:dyDescent="0.25">
      <c r="A209" s="21" t="s">
        <v>427</v>
      </c>
      <c r="B209" s="33" t="s">
        <v>428</v>
      </c>
      <c r="C209" s="34" t="s">
        <v>52</v>
      </c>
      <c r="D209" s="35" t="s">
        <v>19</v>
      </c>
      <c r="E209" s="31" t="s">
        <v>544</v>
      </c>
      <c r="F209" s="32">
        <v>4</v>
      </c>
      <c r="G209" s="11">
        <v>4</v>
      </c>
      <c r="H209" s="11"/>
      <c r="I209" s="13">
        <f t="shared" si="15"/>
        <v>4</v>
      </c>
      <c r="O209" s="16">
        <f t="shared" si="12"/>
        <v>4</v>
      </c>
      <c r="P209" s="17">
        <f t="shared" si="13"/>
        <v>0</v>
      </c>
      <c r="Q209" s="18">
        <f t="shared" si="14"/>
        <v>4</v>
      </c>
      <c r="X209" s="49">
        <v>4</v>
      </c>
    </row>
    <row r="210" spans="1:36" s="3" customFormat="1" x14ac:dyDescent="0.25">
      <c r="A210" s="21" t="s">
        <v>429</v>
      </c>
      <c r="B210" s="33" t="s">
        <v>430</v>
      </c>
      <c r="C210" s="34" t="s">
        <v>52</v>
      </c>
      <c r="D210" s="35" t="s">
        <v>19</v>
      </c>
      <c r="E210" s="31" t="s">
        <v>544</v>
      </c>
      <c r="F210" s="32">
        <v>4</v>
      </c>
      <c r="G210" s="11">
        <v>4</v>
      </c>
      <c r="H210" s="11"/>
      <c r="I210" s="13">
        <f t="shared" si="15"/>
        <v>4</v>
      </c>
      <c r="O210" s="16">
        <f t="shared" si="12"/>
        <v>4</v>
      </c>
      <c r="P210" s="17">
        <f t="shared" si="13"/>
        <v>0</v>
      </c>
      <c r="Q210" s="18">
        <f t="shared" si="14"/>
        <v>4</v>
      </c>
      <c r="X210" s="49">
        <v>4</v>
      </c>
    </row>
    <row r="211" spans="1:36" s="3" customFormat="1" x14ac:dyDescent="0.25">
      <c r="A211" s="21" t="s">
        <v>431</v>
      </c>
      <c r="B211" s="33" t="s">
        <v>432</v>
      </c>
      <c r="C211" s="34" t="s">
        <v>52</v>
      </c>
      <c r="D211" s="35" t="s">
        <v>19</v>
      </c>
      <c r="E211" s="31" t="s">
        <v>544</v>
      </c>
      <c r="F211" s="32">
        <v>4</v>
      </c>
      <c r="G211" s="11">
        <v>4</v>
      </c>
      <c r="H211" s="11"/>
      <c r="I211" s="13">
        <f t="shared" si="15"/>
        <v>4</v>
      </c>
      <c r="O211" s="16">
        <f t="shared" si="12"/>
        <v>4</v>
      </c>
      <c r="P211" s="17">
        <f t="shared" si="13"/>
        <v>0</v>
      </c>
      <c r="Q211" s="18">
        <f t="shared" si="14"/>
        <v>4</v>
      </c>
      <c r="X211" s="49">
        <v>4</v>
      </c>
    </row>
    <row r="212" spans="1:36" s="3" customFormat="1" x14ac:dyDescent="0.25">
      <c r="A212" s="21">
        <v>3.7</v>
      </c>
      <c r="B212" s="36" t="s">
        <v>433</v>
      </c>
      <c r="C212" s="34"/>
      <c r="D212" s="35"/>
      <c r="E212" s="31"/>
      <c r="F212" s="32"/>
      <c r="G212" s="11"/>
      <c r="H212" s="11"/>
      <c r="I212" s="13">
        <f t="shared" si="15"/>
        <v>0</v>
      </c>
      <c r="O212" s="16">
        <f t="shared" si="12"/>
        <v>0</v>
      </c>
      <c r="P212" s="17">
        <f t="shared" si="13"/>
        <v>0</v>
      </c>
      <c r="Q212" s="18">
        <f t="shared" si="14"/>
        <v>0</v>
      </c>
    </row>
    <row r="213" spans="1:36" s="3" customFormat="1" x14ac:dyDescent="0.25">
      <c r="A213" s="21" t="s">
        <v>434</v>
      </c>
      <c r="B213" s="33" t="s">
        <v>435</v>
      </c>
      <c r="C213" s="34" t="s">
        <v>436</v>
      </c>
      <c r="D213" s="35" t="s">
        <v>19</v>
      </c>
      <c r="E213" s="31" t="s">
        <v>544</v>
      </c>
      <c r="F213" s="32"/>
      <c r="G213" s="11">
        <v>6</v>
      </c>
      <c r="H213" s="11"/>
      <c r="I213" s="13">
        <f t="shared" si="15"/>
        <v>6</v>
      </c>
      <c r="O213" s="16">
        <f t="shared" si="12"/>
        <v>6</v>
      </c>
      <c r="P213" s="17">
        <f t="shared" si="13"/>
        <v>12</v>
      </c>
      <c r="Q213" s="18">
        <f t="shared" si="14"/>
        <v>18</v>
      </c>
      <c r="W213" s="48">
        <v>6</v>
      </c>
      <c r="AJ213" s="49">
        <v>12</v>
      </c>
    </row>
    <row r="214" spans="1:36" s="3" customFormat="1" x14ac:dyDescent="0.25">
      <c r="A214" s="21" t="s">
        <v>437</v>
      </c>
      <c r="B214" s="33" t="s">
        <v>438</v>
      </c>
      <c r="C214" s="34" t="s">
        <v>436</v>
      </c>
      <c r="D214" s="35" t="s">
        <v>19</v>
      </c>
      <c r="E214" s="31" t="s">
        <v>544</v>
      </c>
      <c r="F214" s="32"/>
      <c r="G214" s="11">
        <v>5</v>
      </c>
      <c r="H214" s="11"/>
      <c r="I214" s="13">
        <f t="shared" si="15"/>
        <v>5</v>
      </c>
      <c r="M214" s="3">
        <v>1</v>
      </c>
      <c r="O214" s="16">
        <f t="shared" si="12"/>
        <v>6</v>
      </c>
      <c r="P214" s="17">
        <f t="shared" si="13"/>
        <v>0</v>
      </c>
      <c r="Q214" s="18">
        <f t="shared" si="14"/>
        <v>6</v>
      </c>
      <c r="V214" s="48">
        <v>5</v>
      </c>
      <c r="AJ214" s="49">
        <v>1</v>
      </c>
    </row>
    <row r="215" spans="1:36" s="3" customFormat="1" ht="33" x14ac:dyDescent="0.25">
      <c r="A215" s="21" t="s">
        <v>439</v>
      </c>
      <c r="B215" s="33" t="s">
        <v>440</v>
      </c>
      <c r="C215" s="34" t="s">
        <v>6</v>
      </c>
      <c r="D215" s="35" t="s">
        <v>19</v>
      </c>
      <c r="E215" s="31" t="s">
        <v>544</v>
      </c>
      <c r="F215" s="32"/>
      <c r="G215" s="11">
        <v>46</v>
      </c>
      <c r="H215" s="11"/>
      <c r="I215" s="13">
        <f t="shared" si="15"/>
        <v>46</v>
      </c>
      <c r="O215" s="16">
        <f t="shared" si="12"/>
        <v>46</v>
      </c>
      <c r="P215" s="17">
        <f t="shared" si="13"/>
        <v>0</v>
      </c>
      <c r="Q215" s="18">
        <f t="shared" si="14"/>
        <v>46</v>
      </c>
      <c r="AE215" s="3">
        <v>46</v>
      </c>
    </row>
    <row r="216" spans="1:36" s="3" customFormat="1" ht="33" x14ac:dyDescent="0.25">
      <c r="A216" s="21" t="s">
        <v>441</v>
      </c>
      <c r="B216" s="33" t="s">
        <v>442</v>
      </c>
      <c r="C216" s="34" t="s">
        <v>5</v>
      </c>
      <c r="D216" s="35" t="s">
        <v>19</v>
      </c>
      <c r="E216" s="31" t="s">
        <v>544</v>
      </c>
      <c r="F216" s="32"/>
      <c r="G216" s="11">
        <v>4</v>
      </c>
      <c r="H216" s="11"/>
      <c r="I216" s="13">
        <f t="shared" si="15"/>
        <v>4</v>
      </c>
      <c r="M216" s="3">
        <v>1</v>
      </c>
      <c r="O216" s="16">
        <f t="shared" si="12"/>
        <v>5</v>
      </c>
      <c r="P216" s="17">
        <f t="shared" si="13"/>
        <v>0</v>
      </c>
      <c r="Q216" s="18">
        <f t="shared" si="14"/>
        <v>5</v>
      </c>
      <c r="Z216" s="49">
        <v>4</v>
      </c>
      <c r="AJ216" s="49">
        <v>1</v>
      </c>
    </row>
    <row r="217" spans="1:36" s="3" customFormat="1" ht="33" x14ac:dyDescent="0.25">
      <c r="A217" s="21" t="s">
        <v>443</v>
      </c>
      <c r="B217" s="33" t="s">
        <v>444</v>
      </c>
      <c r="C217" s="34" t="s">
        <v>6</v>
      </c>
      <c r="D217" s="35" t="s">
        <v>19</v>
      </c>
      <c r="E217" s="31" t="s">
        <v>544</v>
      </c>
      <c r="F217" s="32"/>
      <c r="G217" s="11">
        <v>12</v>
      </c>
      <c r="H217" s="11"/>
      <c r="I217" s="13">
        <f t="shared" si="15"/>
        <v>12</v>
      </c>
      <c r="O217" s="16">
        <f t="shared" si="12"/>
        <v>12</v>
      </c>
      <c r="P217" s="17">
        <f t="shared" si="13"/>
        <v>0</v>
      </c>
      <c r="Q217" s="18">
        <f t="shared" si="14"/>
        <v>12</v>
      </c>
      <c r="Z217" s="49">
        <v>12</v>
      </c>
    </row>
    <row r="218" spans="1:36" s="3" customFormat="1" ht="33" x14ac:dyDescent="0.25">
      <c r="A218" s="21" t="s">
        <v>445</v>
      </c>
      <c r="B218" s="33" t="s">
        <v>446</v>
      </c>
      <c r="C218" s="34" t="s">
        <v>6</v>
      </c>
      <c r="D218" s="35" t="s">
        <v>19</v>
      </c>
      <c r="E218" s="31" t="s">
        <v>544</v>
      </c>
      <c r="F218" s="32"/>
      <c r="G218" s="11">
        <v>6</v>
      </c>
      <c r="H218" s="11"/>
      <c r="I218" s="13">
        <f t="shared" si="15"/>
        <v>6</v>
      </c>
      <c r="O218" s="16">
        <f t="shared" si="12"/>
        <v>6</v>
      </c>
      <c r="P218" s="17">
        <f t="shared" si="13"/>
        <v>0</v>
      </c>
      <c r="Q218" s="18">
        <f t="shared" si="14"/>
        <v>6</v>
      </c>
      <c r="Z218" s="49">
        <v>6</v>
      </c>
    </row>
    <row r="219" spans="1:36" s="3" customFormat="1" ht="33" x14ac:dyDescent="0.25">
      <c r="A219" s="21" t="s">
        <v>447</v>
      </c>
      <c r="B219" s="33" t="s">
        <v>448</v>
      </c>
      <c r="C219" s="34" t="s">
        <v>6</v>
      </c>
      <c r="D219" s="35" t="s">
        <v>19</v>
      </c>
      <c r="E219" s="31" t="s">
        <v>544</v>
      </c>
      <c r="F219" s="32"/>
      <c r="G219" s="11">
        <v>2</v>
      </c>
      <c r="H219" s="11"/>
      <c r="I219" s="13">
        <f t="shared" si="15"/>
        <v>2</v>
      </c>
      <c r="O219" s="16">
        <f t="shared" si="12"/>
        <v>2</v>
      </c>
      <c r="P219" s="17">
        <f t="shared" si="13"/>
        <v>0</v>
      </c>
      <c r="Q219" s="18">
        <f t="shared" si="14"/>
        <v>2</v>
      </c>
      <c r="Z219" s="49">
        <v>2</v>
      </c>
    </row>
    <row r="220" spans="1:36" s="3" customFormat="1" ht="33" x14ac:dyDescent="0.25">
      <c r="A220" s="21" t="s">
        <v>449</v>
      </c>
      <c r="B220" s="33" t="s">
        <v>450</v>
      </c>
      <c r="C220" s="34" t="s">
        <v>436</v>
      </c>
      <c r="D220" s="35" t="s">
        <v>19</v>
      </c>
      <c r="E220" s="31" t="s">
        <v>545</v>
      </c>
      <c r="F220" s="32"/>
      <c r="G220" s="11">
        <v>4</v>
      </c>
      <c r="H220" s="11"/>
      <c r="I220" s="13">
        <f t="shared" si="15"/>
        <v>4</v>
      </c>
      <c r="O220" s="16">
        <f t="shared" si="12"/>
        <v>4</v>
      </c>
      <c r="P220" s="17">
        <f t="shared" si="13"/>
        <v>0</v>
      </c>
      <c r="Q220" s="18">
        <f t="shared" si="14"/>
        <v>4</v>
      </c>
      <c r="W220" s="48">
        <v>4</v>
      </c>
    </row>
    <row r="221" spans="1:36" s="3" customFormat="1" ht="33" x14ac:dyDescent="0.25">
      <c r="A221" s="21" t="s">
        <v>451</v>
      </c>
      <c r="B221" s="33" t="s">
        <v>452</v>
      </c>
      <c r="C221" s="34" t="s">
        <v>436</v>
      </c>
      <c r="D221" s="35" t="s">
        <v>19</v>
      </c>
      <c r="E221" s="31" t="s">
        <v>544</v>
      </c>
      <c r="F221" s="32"/>
      <c r="G221" s="11">
        <v>8</v>
      </c>
      <c r="H221" s="11"/>
      <c r="I221" s="13">
        <f t="shared" si="15"/>
        <v>8</v>
      </c>
      <c r="O221" s="16">
        <f t="shared" si="12"/>
        <v>8</v>
      </c>
      <c r="P221" s="17">
        <f t="shared" si="13"/>
        <v>0</v>
      </c>
      <c r="Q221" s="18">
        <f t="shared" si="14"/>
        <v>8</v>
      </c>
      <c r="W221" s="48">
        <v>8</v>
      </c>
    </row>
    <row r="222" spans="1:36" s="3" customFormat="1" ht="33" x14ac:dyDescent="0.25">
      <c r="A222" s="21" t="s">
        <v>453</v>
      </c>
      <c r="B222" s="33" t="s">
        <v>454</v>
      </c>
      <c r="C222" s="34" t="s">
        <v>5</v>
      </c>
      <c r="D222" s="35" t="s">
        <v>19</v>
      </c>
      <c r="E222" s="31" t="s">
        <v>544</v>
      </c>
      <c r="F222" s="32"/>
      <c r="G222" s="11">
        <v>18</v>
      </c>
      <c r="H222" s="11"/>
      <c r="I222" s="13">
        <f t="shared" si="15"/>
        <v>18</v>
      </c>
      <c r="O222" s="16">
        <f t="shared" si="12"/>
        <v>18</v>
      </c>
      <c r="P222" s="17">
        <f t="shared" si="13"/>
        <v>0</v>
      </c>
      <c r="Q222" s="18">
        <f t="shared" si="14"/>
        <v>18</v>
      </c>
      <c r="Z222" s="49">
        <v>18</v>
      </c>
    </row>
    <row r="223" spans="1:36" s="3" customFormat="1" ht="33" x14ac:dyDescent="0.25">
      <c r="A223" s="21" t="s">
        <v>455</v>
      </c>
      <c r="B223" s="33" t="s">
        <v>456</v>
      </c>
      <c r="C223" s="34" t="s">
        <v>6</v>
      </c>
      <c r="D223" s="35" t="s">
        <v>19</v>
      </c>
      <c r="E223" s="31" t="s">
        <v>544</v>
      </c>
      <c r="F223" s="32"/>
      <c r="G223" s="11">
        <v>50</v>
      </c>
      <c r="H223" s="11"/>
      <c r="I223" s="13">
        <f t="shared" si="15"/>
        <v>50</v>
      </c>
      <c r="O223" s="16">
        <f t="shared" si="12"/>
        <v>50</v>
      </c>
      <c r="P223" s="17">
        <f t="shared" si="13"/>
        <v>0</v>
      </c>
      <c r="Q223" s="18">
        <f t="shared" si="14"/>
        <v>50</v>
      </c>
      <c r="AE223" s="3">
        <v>50</v>
      </c>
    </row>
    <row r="224" spans="1:36" s="3" customFormat="1" x14ac:dyDescent="0.25">
      <c r="A224" s="21" t="s">
        <v>457</v>
      </c>
      <c r="B224" s="33" t="s">
        <v>458</v>
      </c>
      <c r="C224" s="34" t="s">
        <v>459</v>
      </c>
      <c r="D224" s="35" t="s">
        <v>19</v>
      </c>
      <c r="E224" s="31" t="s">
        <v>544</v>
      </c>
      <c r="F224" s="32"/>
      <c r="G224" s="11">
        <v>6</v>
      </c>
      <c r="H224" s="11"/>
      <c r="I224" s="13">
        <f t="shared" si="15"/>
        <v>6</v>
      </c>
      <c r="O224" s="16">
        <f t="shared" si="12"/>
        <v>6</v>
      </c>
      <c r="P224" s="17">
        <f t="shared" si="13"/>
        <v>0</v>
      </c>
      <c r="Q224" s="18">
        <f t="shared" si="14"/>
        <v>6</v>
      </c>
      <c r="W224" s="48">
        <v>6</v>
      </c>
    </row>
    <row r="225" spans="1:38" s="3" customFormat="1" ht="33" x14ac:dyDescent="0.25">
      <c r="A225" s="21" t="s">
        <v>460</v>
      </c>
      <c r="B225" s="33" t="s">
        <v>461</v>
      </c>
      <c r="C225" s="34" t="s">
        <v>5</v>
      </c>
      <c r="D225" s="35" t="s">
        <v>19</v>
      </c>
      <c r="E225" s="31" t="s">
        <v>544</v>
      </c>
      <c r="F225" s="32"/>
      <c r="G225" s="11">
        <v>9</v>
      </c>
      <c r="H225" s="11"/>
      <c r="I225" s="13">
        <f t="shared" si="15"/>
        <v>9</v>
      </c>
      <c r="O225" s="16">
        <f t="shared" si="12"/>
        <v>9</v>
      </c>
      <c r="P225" s="17">
        <f t="shared" si="13"/>
        <v>0</v>
      </c>
      <c r="Q225" s="18">
        <f t="shared" si="14"/>
        <v>9</v>
      </c>
      <c r="Z225" s="49">
        <v>9</v>
      </c>
    </row>
    <row r="226" spans="1:38" s="3" customFormat="1" ht="33" x14ac:dyDescent="0.25">
      <c r="A226" s="21" t="s">
        <v>462</v>
      </c>
      <c r="B226" s="33" t="s">
        <v>463</v>
      </c>
      <c r="C226" s="34" t="s">
        <v>6</v>
      </c>
      <c r="D226" s="35" t="s">
        <v>19</v>
      </c>
      <c r="E226" s="31" t="s">
        <v>544</v>
      </c>
      <c r="F226" s="32"/>
      <c r="G226" s="11">
        <v>4</v>
      </c>
      <c r="H226" s="11"/>
      <c r="I226" s="13">
        <f t="shared" si="15"/>
        <v>4</v>
      </c>
      <c r="O226" s="16">
        <f t="shared" si="12"/>
        <v>4</v>
      </c>
      <c r="P226" s="17">
        <f t="shared" si="13"/>
        <v>0</v>
      </c>
      <c r="Q226" s="18">
        <f t="shared" si="14"/>
        <v>4</v>
      </c>
      <c r="Z226" s="49">
        <v>4</v>
      </c>
    </row>
    <row r="227" spans="1:38" s="3" customFormat="1" ht="33" x14ac:dyDescent="0.25">
      <c r="A227" s="21" t="s">
        <v>464</v>
      </c>
      <c r="B227" s="33" t="s">
        <v>465</v>
      </c>
      <c r="C227" s="34" t="s">
        <v>6</v>
      </c>
      <c r="D227" s="35" t="s">
        <v>19</v>
      </c>
      <c r="E227" s="31" t="s">
        <v>544</v>
      </c>
      <c r="F227" s="32"/>
      <c r="G227" s="11">
        <v>1</v>
      </c>
      <c r="H227" s="11"/>
      <c r="I227" s="13">
        <f t="shared" si="15"/>
        <v>1</v>
      </c>
      <c r="O227" s="16">
        <f t="shared" si="12"/>
        <v>1</v>
      </c>
      <c r="P227" s="17">
        <f t="shared" si="13"/>
        <v>0</v>
      </c>
      <c r="Q227" s="18">
        <f t="shared" si="14"/>
        <v>1</v>
      </c>
      <c r="Z227" s="49">
        <v>1</v>
      </c>
    </row>
    <row r="228" spans="1:38" s="3" customFormat="1" ht="33" x14ac:dyDescent="0.25">
      <c r="A228" s="21" t="s">
        <v>466</v>
      </c>
      <c r="B228" s="33" t="s">
        <v>467</v>
      </c>
      <c r="C228" s="34" t="s">
        <v>5</v>
      </c>
      <c r="D228" s="35" t="s">
        <v>19</v>
      </c>
      <c r="E228" s="31" t="s">
        <v>544</v>
      </c>
      <c r="F228" s="32"/>
      <c r="G228" s="11">
        <v>3</v>
      </c>
      <c r="H228" s="11"/>
      <c r="I228" s="13">
        <f t="shared" si="15"/>
        <v>3</v>
      </c>
      <c r="O228" s="16">
        <f t="shared" si="12"/>
        <v>3</v>
      </c>
      <c r="P228" s="17">
        <f t="shared" si="13"/>
        <v>0</v>
      </c>
      <c r="Q228" s="18">
        <f t="shared" si="14"/>
        <v>3</v>
      </c>
      <c r="Z228" s="49">
        <v>3</v>
      </c>
    </row>
    <row r="229" spans="1:38" s="3" customFormat="1" ht="33" x14ac:dyDescent="0.25">
      <c r="A229" s="21" t="s">
        <v>468</v>
      </c>
      <c r="B229" s="33" t="s">
        <v>469</v>
      </c>
      <c r="C229" s="34" t="s">
        <v>6</v>
      </c>
      <c r="D229" s="35" t="s">
        <v>19</v>
      </c>
      <c r="E229" s="31" t="s">
        <v>544</v>
      </c>
      <c r="F229" s="32"/>
      <c r="G229" s="11">
        <v>28</v>
      </c>
      <c r="H229" s="11"/>
      <c r="I229" s="13">
        <f t="shared" si="15"/>
        <v>28</v>
      </c>
      <c r="O229" s="16">
        <f t="shared" si="12"/>
        <v>28</v>
      </c>
      <c r="P229" s="17">
        <f t="shared" si="13"/>
        <v>0</v>
      </c>
      <c r="Q229" s="18">
        <f t="shared" si="14"/>
        <v>28</v>
      </c>
      <c r="Z229" s="49">
        <v>28</v>
      </c>
    </row>
    <row r="230" spans="1:38" s="3" customFormat="1" ht="33" x14ac:dyDescent="0.25">
      <c r="A230" s="21" t="s">
        <v>470</v>
      </c>
      <c r="B230" s="33" t="s">
        <v>471</v>
      </c>
      <c r="C230" s="34" t="s">
        <v>5</v>
      </c>
      <c r="D230" s="35" t="s">
        <v>19</v>
      </c>
      <c r="E230" s="31" t="s">
        <v>544</v>
      </c>
      <c r="F230" s="32"/>
      <c r="G230" s="11">
        <v>1</v>
      </c>
      <c r="H230" s="11"/>
      <c r="I230" s="13">
        <f t="shared" si="15"/>
        <v>1</v>
      </c>
      <c r="O230" s="16">
        <f t="shared" si="12"/>
        <v>1</v>
      </c>
      <c r="P230" s="17">
        <f t="shared" si="13"/>
        <v>0</v>
      </c>
      <c r="Q230" s="18">
        <f t="shared" si="14"/>
        <v>1</v>
      </c>
      <c r="Z230" s="49">
        <v>1</v>
      </c>
    </row>
    <row r="231" spans="1:38" s="3" customFormat="1" ht="33" x14ac:dyDescent="0.25">
      <c r="A231" s="21" t="s">
        <v>472</v>
      </c>
      <c r="B231" s="33" t="s">
        <v>473</v>
      </c>
      <c r="C231" s="34" t="s">
        <v>5</v>
      </c>
      <c r="D231" s="35" t="s">
        <v>19</v>
      </c>
      <c r="E231" s="31" t="s">
        <v>544</v>
      </c>
      <c r="F231" s="32"/>
      <c r="G231" s="11">
        <v>39</v>
      </c>
      <c r="H231" s="11"/>
      <c r="I231" s="13">
        <f t="shared" si="15"/>
        <v>39</v>
      </c>
      <c r="O231" s="16">
        <f t="shared" si="12"/>
        <v>39</v>
      </c>
      <c r="P231" s="17">
        <f t="shared" si="13"/>
        <v>0</v>
      </c>
      <c r="Q231" s="18">
        <f t="shared" si="14"/>
        <v>39</v>
      </c>
      <c r="V231" s="48">
        <v>39</v>
      </c>
    </row>
    <row r="232" spans="1:38" s="3" customFormat="1" ht="33" x14ac:dyDescent="0.25">
      <c r="A232" s="21" t="s">
        <v>474</v>
      </c>
      <c r="B232" s="33" t="s">
        <v>475</v>
      </c>
      <c r="C232" s="34" t="s">
        <v>5</v>
      </c>
      <c r="D232" s="35" t="s">
        <v>19</v>
      </c>
      <c r="E232" s="31" t="s">
        <v>544</v>
      </c>
      <c r="F232" s="32"/>
      <c r="G232" s="11">
        <v>17</v>
      </c>
      <c r="H232" s="11"/>
      <c r="I232" s="13">
        <f t="shared" si="15"/>
        <v>17</v>
      </c>
      <c r="O232" s="16">
        <f t="shared" si="12"/>
        <v>17</v>
      </c>
      <c r="P232" s="17">
        <f t="shared" si="13"/>
        <v>0</v>
      </c>
      <c r="Q232" s="18">
        <f t="shared" si="14"/>
        <v>17</v>
      </c>
      <c r="V232" s="48">
        <v>17</v>
      </c>
    </row>
    <row r="233" spans="1:38" s="3" customFormat="1" ht="33" x14ac:dyDescent="0.25">
      <c r="A233" s="21" t="s">
        <v>476</v>
      </c>
      <c r="B233" s="33" t="s">
        <v>477</v>
      </c>
      <c r="C233" s="34" t="s">
        <v>478</v>
      </c>
      <c r="D233" s="35" t="s">
        <v>19</v>
      </c>
      <c r="E233" s="31" t="s">
        <v>544</v>
      </c>
      <c r="F233" s="32"/>
      <c r="G233" s="11">
        <v>1</v>
      </c>
      <c r="H233" s="11"/>
      <c r="I233" s="13">
        <f t="shared" si="15"/>
        <v>1</v>
      </c>
      <c r="O233" s="16">
        <f t="shared" si="12"/>
        <v>1</v>
      </c>
      <c r="P233" s="17">
        <f t="shared" si="13"/>
        <v>0</v>
      </c>
      <c r="Q233" s="18">
        <f t="shared" si="14"/>
        <v>1</v>
      </c>
      <c r="V233" s="48">
        <v>1</v>
      </c>
    </row>
    <row r="234" spans="1:38" s="3" customFormat="1" ht="33" x14ac:dyDescent="0.25">
      <c r="A234" s="21" t="s">
        <v>479</v>
      </c>
      <c r="B234" s="33" t="s">
        <v>480</v>
      </c>
      <c r="C234" s="34" t="s">
        <v>7</v>
      </c>
      <c r="D234" s="35" t="s">
        <v>19</v>
      </c>
      <c r="E234" s="31" t="s">
        <v>544</v>
      </c>
      <c r="F234" s="32"/>
      <c r="G234" s="11">
        <v>3</v>
      </c>
      <c r="H234" s="11"/>
      <c r="I234" s="13">
        <f t="shared" si="15"/>
        <v>3</v>
      </c>
      <c r="O234" s="16">
        <f t="shared" si="12"/>
        <v>3</v>
      </c>
      <c r="P234" s="17">
        <f t="shared" si="13"/>
        <v>0</v>
      </c>
      <c r="Q234" s="18">
        <f t="shared" si="14"/>
        <v>3</v>
      </c>
      <c r="W234" s="48">
        <v>3</v>
      </c>
    </row>
    <row r="235" spans="1:38" s="3" customFormat="1" ht="33" x14ac:dyDescent="0.25">
      <c r="A235" s="21" t="s">
        <v>481</v>
      </c>
      <c r="B235" s="33" t="s">
        <v>482</v>
      </c>
      <c r="C235" s="34" t="s">
        <v>478</v>
      </c>
      <c r="D235" s="35" t="s">
        <v>19</v>
      </c>
      <c r="E235" s="31" t="s">
        <v>544</v>
      </c>
      <c r="F235" s="32"/>
      <c r="G235" s="11">
        <v>9</v>
      </c>
      <c r="H235" s="11"/>
      <c r="I235" s="13">
        <f t="shared" si="15"/>
        <v>9</v>
      </c>
      <c r="N235" s="3">
        <v>1</v>
      </c>
      <c r="O235" s="16">
        <f t="shared" si="12"/>
        <v>10</v>
      </c>
      <c r="P235" s="17">
        <f t="shared" si="13"/>
        <v>0</v>
      </c>
      <c r="Q235" s="18">
        <f t="shared" si="14"/>
        <v>10</v>
      </c>
      <c r="V235" s="48">
        <v>9</v>
      </c>
      <c r="AL235" s="3">
        <v>1</v>
      </c>
    </row>
    <row r="236" spans="1:38" s="3" customFormat="1" x14ac:dyDescent="0.25">
      <c r="A236" s="21" t="s">
        <v>483</v>
      </c>
      <c r="B236" s="37" t="s">
        <v>484</v>
      </c>
      <c r="C236" s="34"/>
      <c r="D236" s="35" t="s">
        <v>19</v>
      </c>
      <c r="E236" s="31" t="s">
        <v>546</v>
      </c>
      <c r="F236" s="32"/>
      <c r="G236" s="11">
        <v>1</v>
      </c>
      <c r="H236" s="11"/>
      <c r="I236" s="13">
        <f t="shared" si="15"/>
        <v>1</v>
      </c>
      <c r="O236" s="16"/>
      <c r="P236" s="17">
        <f t="shared" si="13"/>
        <v>0</v>
      </c>
      <c r="Q236" s="18">
        <f t="shared" si="14"/>
        <v>0</v>
      </c>
    </row>
    <row r="237" spans="1:38" s="3" customFormat="1" ht="33" x14ac:dyDescent="0.25">
      <c r="A237" s="21" t="s">
        <v>485</v>
      </c>
      <c r="B237" s="33" t="s">
        <v>486</v>
      </c>
      <c r="C237" s="34" t="s">
        <v>7</v>
      </c>
      <c r="D237" s="35" t="s">
        <v>19</v>
      </c>
      <c r="E237" s="31" t="s">
        <v>544</v>
      </c>
      <c r="F237" s="32"/>
      <c r="G237" s="11">
        <v>1</v>
      </c>
      <c r="H237" s="11"/>
      <c r="I237" s="13">
        <f t="shared" si="15"/>
        <v>1</v>
      </c>
      <c r="O237" s="16">
        <f>SUM(I237:N237)</f>
        <v>1</v>
      </c>
      <c r="P237" s="17">
        <f t="shared" si="13"/>
        <v>0</v>
      </c>
      <c r="Q237" s="18">
        <f t="shared" si="14"/>
        <v>1</v>
      </c>
      <c r="AF237" s="3">
        <v>1</v>
      </c>
    </row>
    <row r="238" spans="1:38" s="3" customFormat="1" ht="33" x14ac:dyDescent="0.25">
      <c r="A238" s="21" t="s">
        <v>487</v>
      </c>
      <c r="B238" s="33" t="s">
        <v>488</v>
      </c>
      <c r="C238" s="34" t="s">
        <v>478</v>
      </c>
      <c r="D238" s="35" t="s">
        <v>19</v>
      </c>
      <c r="E238" s="31" t="s">
        <v>544</v>
      </c>
      <c r="F238" s="32"/>
      <c r="G238" s="11">
        <v>13</v>
      </c>
      <c r="H238" s="11"/>
      <c r="I238" s="13">
        <f t="shared" si="15"/>
        <v>13</v>
      </c>
      <c r="O238" s="16">
        <f>SUM(I238:N238)</f>
        <v>13</v>
      </c>
      <c r="P238" s="17">
        <f t="shared" si="13"/>
        <v>0</v>
      </c>
      <c r="Q238" s="18">
        <f t="shared" si="14"/>
        <v>13</v>
      </c>
      <c r="V238" s="48">
        <v>13</v>
      </c>
    </row>
    <row r="239" spans="1:38" s="3" customFormat="1" x14ac:dyDescent="0.25">
      <c r="A239" s="21" t="s">
        <v>489</v>
      </c>
      <c r="B239" s="33" t="s">
        <v>490</v>
      </c>
      <c r="C239" s="34" t="s">
        <v>7</v>
      </c>
      <c r="D239" s="35" t="s">
        <v>19</v>
      </c>
      <c r="E239" s="31" t="s">
        <v>544</v>
      </c>
      <c r="F239" s="32"/>
      <c r="G239" s="11">
        <v>1</v>
      </c>
      <c r="H239" s="11"/>
      <c r="I239" s="13">
        <f t="shared" si="15"/>
        <v>1</v>
      </c>
      <c r="O239" s="16">
        <f>SUM(I239:N239)</f>
        <v>1</v>
      </c>
      <c r="P239" s="17">
        <f t="shared" si="13"/>
        <v>0</v>
      </c>
      <c r="Q239" s="18">
        <f t="shared" si="14"/>
        <v>1</v>
      </c>
      <c r="AF239" s="3">
        <v>1</v>
      </c>
    </row>
    <row r="240" spans="1:38" s="3" customFormat="1" x14ac:dyDescent="0.25">
      <c r="A240" s="21" t="s">
        <v>491</v>
      </c>
      <c r="B240" s="33" t="s">
        <v>492</v>
      </c>
      <c r="C240" s="34" t="s">
        <v>478</v>
      </c>
      <c r="D240" s="35" t="s">
        <v>19</v>
      </c>
      <c r="E240" s="31" t="s">
        <v>544</v>
      </c>
      <c r="F240" s="32"/>
      <c r="G240" s="11">
        <v>3</v>
      </c>
      <c r="H240" s="11"/>
      <c r="I240" s="13">
        <f t="shared" si="15"/>
        <v>3</v>
      </c>
      <c r="O240" s="16">
        <f>SUM(I240:N240)</f>
        <v>3</v>
      </c>
      <c r="P240" s="17">
        <f t="shared" si="13"/>
        <v>0</v>
      </c>
      <c r="Q240" s="18">
        <f t="shared" si="14"/>
        <v>3</v>
      </c>
      <c r="V240" s="48">
        <v>3</v>
      </c>
    </row>
    <row r="241" spans="1:38" s="3" customFormat="1" ht="33" x14ac:dyDescent="0.25">
      <c r="A241" s="21" t="s">
        <v>493</v>
      </c>
      <c r="B241" s="33" t="s">
        <v>494</v>
      </c>
      <c r="C241" s="34" t="s">
        <v>478</v>
      </c>
      <c r="D241" s="35" t="s">
        <v>19</v>
      </c>
      <c r="E241" s="31" t="s">
        <v>544</v>
      </c>
      <c r="F241" s="32"/>
      <c r="G241" s="11">
        <v>2</v>
      </c>
      <c r="H241" s="11"/>
      <c r="I241" s="13">
        <f t="shared" si="15"/>
        <v>2</v>
      </c>
      <c r="O241" s="16">
        <f>SUM(I241:N241)</f>
        <v>2</v>
      </c>
      <c r="P241" s="17">
        <f t="shared" si="13"/>
        <v>0</v>
      </c>
      <c r="Q241" s="18">
        <f t="shared" si="14"/>
        <v>2</v>
      </c>
      <c r="W241" s="48">
        <v>2</v>
      </c>
    </row>
    <row r="242" spans="1:38" s="3" customFormat="1" x14ac:dyDescent="0.25">
      <c r="A242" s="21" t="s">
        <v>495</v>
      </c>
      <c r="B242" s="37" t="s">
        <v>496</v>
      </c>
      <c r="C242" s="34"/>
      <c r="D242" s="35" t="s">
        <v>19</v>
      </c>
      <c r="E242" s="31" t="s">
        <v>546</v>
      </c>
      <c r="F242" s="32"/>
      <c r="G242" s="11">
        <v>3</v>
      </c>
      <c r="H242" s="11"/>
      <c r="I242" s="13">
        <f t="shared" si="15"/>
        <v>3</v>
      </c>
      <c r="O242" s="16"/>
      <c r="P242" s="17">
        <f t="shared" si="13"/>
        <v>0</v>
      </c>
      <c r="Q242" s="18">
        <f t="shared" si="14"/>
        <v>0</v>
      </c>
    </row>
    <row r="243" spans="1:38" s="3" customFormat="1" ht="33" x14ac:dyDescent="0.25">
      <c r="A243" s="21" t="s">
        <v>497</v>
      </c>
      <c r="B243" s="33" t="s">
        <v>498</v>
      </c>
      <c r="C243" s="34" t="s">
        <v>7</v>
      </c>
      <c r="D243" s="35" t="s">
        <v>19</v>
      </c>
      <c r="E243" s="31" t="s">
        <v>544</v>
      </c>
      <c r="F243" s="32"/>
      <c r="G243" s="11">
        <v>5</v>
      </c>
      <c r="H243" s="11"/>
      <c r="I243" s="13">
        <f t="shared" si="15"/>
        <v>5</v>
      </c>
      <c r="N243" s="3">
        <v>1</v>
      </c>
      <c r="O243" s="16">
        <f>SUM(I243:N243)</f>
        <v>6</v>
      </c>
      <c r="P243" s="17">
        <f t="shared" si="13"/>
        <v>0</v>
      </c>
      <c r="Q243" s="18">
        <f t="shared" si="14"/>
        <v>6</v>
      </c>
      <c r="AF243" s="3">
        <v>5</v>
      </c>
      <c r="AL243" s="3">
        <v>1</v>
      </c>
    </row>
    <row r="244" spans="1:38" s="3" customFormat="1" ht="33" x14ac:dyDescent="0.25">
      <c r="A244" s="21" t="s">
        <v>499</v>
      </c>
      <c r="B244" s="33" t="s">
        <v>500</v>
      </c>
      <c r="C244" s="34" t="s">
        <v>478</v>
      </c>
      <c r="D244" s="35" t="s">
        <v>19</v>
      </c>
      <c r="E244" s="31" t="s">
        <v>544</v>
      </c>
      <c r="F244" s="32"/>
      <c r="G244" s="11">
        <v>7</v>
      </c>
      <c r="H244" s="11"/>
      <c r="I244" s="13">
        <f t="shared" si="15"/>
        <v>7</v>
      </c>
      <c r="N244" s="3">
        <v>1</v>
      </c>
      <c r="O244" s="16">
        <f>SUM(I244:N244)</f>
        <v>8</v>
      </c>
      <c r="P244" s="17">
        <f t="shared" si="13"/>
        <v>0</v>
      </c>
      <c r="Q244" s="18">
        <f t="shared" si="14"/>
        <v>8</v>
      </c>
      <c r="V244" s="48">
        <v>7</v>
      </c>
      <c r="AL244" s="3">
        <v>1</v>
      </c>
    </row>
    <row r="245" spans="1:38" s="3" customFormat="1" x14ac:dyDescent="0.25">
      <c r="A245" s="21" t="s">
        <v>501</v>
      </c>
      <c r="B245" s="33" t="s">
        <v>502</v>
      </c>
      <c r="C245" s="34" t="s">
        <v>7</v>
      </c>
      <c r="D245" s="35" t="s">
        <v>19</v>
      </c>
      <c r="E245" s="31" t="s">
        <v>544</v>
      </c>
      <c r="F245" s="32"/>
      <c r="G245" s="11">
        <v>1</v>
      </c>
      <c r="H245" s="11"/>
      <c r="I245" s="13">
        <f t="shared" si="15"/>
        <v>1</v>
      </c>
      <c r="O245" s="16">
        <f>SUM(I245:N245)</f>
        <v>1</v>
      </c>
      <c r="P245" s="17">
        <f t="shared" si="13"/>
        <v>0</v>
      </c>
      <c r="Q245" s="18">
        <f t="shared" si="14"/>
        <v>1</v>
      </c>
      <c r="AF245" s="3">
        <v>1</v>
      </c>
    </row>
    <row r="246" spans="1:38" s="3" customFormat="1" x14ac:dyDescent="0.25">
      <c r="A246" s="21" t="s">
        <v>503</v>
      </c>
      <c r="B246" s="33" t="s">
        <v>504</v>
      </c>
      <c r="C246" s="34" t="s">
        <v>478</v>
      </c>
      <c r="D246" s="35" t="s">
        <v>19</v>
      </c>
      <c r="E246" s="31" t="s">
        <v>544</v>
      </c>
      <c r="F246" s="32"/>
      <c r="G246" s="11">
        <v>3</v>
      </c>
      <c r="H246" s="11"/>
      <c r="I246" s="13">
        <f t="shared" si="15"/>
        <v>3</v>
      </c>
      <c r="O246" s="16">
        <f>SUM(I246:N246)</f>
        <v>3</v>
      </c>
      <c r="P246" s="17">
        <f t="shared" si="13"/>
        <v>0</v>
      </c>
      <c r="Q246" s="18">
        <f t="shared" si="14"/>
        <v>3</v>
      </c>
      <c r="V246" s="48">
        <v>3</v>
      </c>
    </row>
    <row r="247" spans="1:38" s="3" customFormat="1" x14ac:dyDescent="0.25">
      <c r="A247" s="21" t="s">
        <v>505</v>
      </c>
      <c r="B247" s="37" t="s">
        <v>506</v>
      </c>
      <c r="C247" s="34"/>
      <c r="D247" s="35" t="s">
        <v>19</v>
      </c>
      <c r="E247" s="31" t="s">
        <v>546</v>
      </c>
      <c r="F247" s="32"/>
      <c r="G247" s="11">
        <v>1</v>
      </c>
      <c r="H247" s="11"/>
      <c r="I247" s="13">
        <f t="shared" si="15"/>
        <v>1</v>
      </c>
      <c r="O247" s="16"/>
      <c r="P247" s="17">
        <f t="shared" si="13"/>
        <v>0</v>
      </c>
      <c r="Q247" s="18">
        <f t="shared" si="14"/>
        <v>0</v>
      </c>
    </row>
    <row r="248" spans="1:38" s="3" customFormat="1" ht="33" x14ac:dyDescent="0.25">
      <c r="A248" s="21" t="s">
        <v>507</v>
      </c>
      <c r="B248" s="33" t="s">
        <v>508</v>
      </c>
      <c r="C248" s="34" t="s">
        <v>7</v>
      </c>
      <c r="D248" s="35" t="s">
        <v>19</v>
      </c>
      <c r="E248" s="31" t="s">
        <v>544</v>
      </c>
      <c r="F248" s="32"/>
      <c r="G248" s="11">
        <v>3</v>
      </c>
      <c r="H248" s="11"/>
      <c r="I248" s="13">
        <f t="shared" si="15"/>
        <v>3</v>
      </c>
      <c r="O248" s="16">
        <f t="shared" ref="O248:O268" si="16">SUM(I248:N248)</f>
        <v>3</v>
      </c>
      <c r="P248" s="17">
        <f t="shared" si="13"/>
        <v>0</v>
      </c>
      <c r="Q248" s="18">
        <f t="shared" si="14"/>
        <v>3</v>
      </c>
      <c r="AF248" s="3">
        <v>3</v>
      </c>
    </row>
    <row r="249" spans="1:38" s="3" customFormat="1" ht="33" x14ac:dyDescent="0.25">
      <c r="A249" s="21" t="s">
        <v>509</v>
      </c>
      <c r="B249" s="33" t="s">
        <v>510</v>
      </c>
      <c r="C249" s="34" t="s">
        <v>478</v>
      </c>
      <c r="D249" s="35" t="s">
        <v>19</v>
      </c>
      <c r="E249" s="31" t="s">
        <v>544</v>
      </c>
      <c r="F249" s="32"/>
      <c r="G249" s="11">
        <v>2</v>
      </c>
      <c r="H249" s="11"/>
      <c r="I249" s="13">
        <f t="shared" si="15"/>
        <v>2</v>
      </c>
      <c r="O249" s="16">
        <f t="shared" si="16"/>
        <v>2</v>
      </c>
      <c r="P249" s="17">
        <f t="shared" si="13"/>
        <v>0</v>
      </c>
      <c r="Q249" s="18">
        <f t="shared" si="14"/>
        <v>2</v>
      </c>
      <c r="V249" s="48">
        <v>2</v>
      </c>
    </row>
    <row r="250" spans="1:38" s="3" customFormat="1" ht="33" x14ac:dyDescent="0.25">
      <c r="A250" s="21" t="s">
        <v>511</v>
      </c>
      <c r="B250" s="33" t="s">
        <v>512</v>
      </c>
      <c r="C250" s="34" t="s">
        <v>7</v>
      </c>
      <c r="D250" s="35" t="s">
        <v>19</v>
      </c>
      <c r="E250" s="31" t="s">
        <v>544</v>
      </c>
      <c r="F250" s="32"/>
      <c r="G250" s="11">
        <v>1</v>
      </c>
      <c r="H250" s="11"/>
      <c r="I250" s="13">
        <f t="shared" si="15"/>
        <v>1</v>
      </c>
      <c r="O250" s="16">
        <f t="shared" si="16"/>
        <v>1</v>
      </c>
      <c r="P250" s="17">
        <f t="shared" si="13"/>
        <v>0</v>
      </c>
      <c r="Q250" s="18">
        <f t="shared" si="14"/>
        <v>1</v>
      </c>
      <c r="AF250" s="3">
        <v>1</v>
      </c>
    </row>
    <row r="251" spans="1:38" s="3" customFormat="1" ht="33" x14ac:dyDescent="0.25">
      <c r="A251" s="21" t="s">
        <v>513</v>
      </c>
      <c r="B251" s="33" t="s">
        <v>514</v>
      </c>
      <c r="C251" s="34" t="s">
        <v>7</v>
      </c>
      <c r="D251" s="35" t="s">
        <v>19</v>
      </c>
      <c r="E251" s="31" t="s">
        <v>544</v>
      </c>
      <c r="F251" s="32"/>
      <c r="G251" s="11">
        <v>3</v>
      </c>
      <c r="H251" s="11"/>
      <c r="I251" s="13">
        <f t="shared" si="15"/>
        <v>3</v>
      </c>
      <c r="O251" s="16">
        <f t="shared" si="16"/>
        <v>3</v>
      </c>
      <c r="P251" s="17">
        <f t="shared" si="13"/>
        <v>0</v>
      </c>
      <c r="Q251" s="18">
        <f t="shared" si="14"/>
        <v>3</v>
      </c>
      <c r="AF251" s="3">
        <v>3</v>
      </c>
    </row>
    <row r="252" spans="1:38" s="3" customFormat="1" ht="33" x14ac:dyDescent="0.25">
      <c r="A252" s="21" t="s">
        <v>515</v>
      </c>
      <c r="B252" s="33" t="s">
        <v>516</v>
      </c>
      <c r="C252" s="34" t="s">
        <v>7</v>
      </c>
      <c r="D252" s="35" t="s">
        <v>19</v>
      </c>
      <c r="E252" s="31" t="s">
        <v>544</v>
      </c>
      <c r="F252" s="32"/>
      <c r="G252" s="11">
        <v>1</v>
      </c>
      <c r="H252" s="11"/>
      <c r="I252" s="13">
        <f t="shared" si="15"/>
        <v>1</v>
      </c>
      <c r="O252" s="16">
        <f t="shared" si="16"/>
        <v>1</v>
      </c>
      <c r="P252" s="17">
        <f t="shared" si="13"/>
        <v>0</v>
      </c>
      <c r="Q252" s="18">
        <f t="shared" si="14"/>
        <v>1</v>
      </c>
      <c r="W252" s="48">
        <v>1</v>
      </c>
    </row>
    <row r="253" spans="1:38" s="3" customFormat="1" ht="33" x14ac:dyDescent="0.25">
      <c r="A253" s="21" t="s">
        <v>517</v>
      </c>
      <c r="B253" s="33" t="s">
        <v>518</v>
      </c>
      <c r="C253" s="34" t="s">
        <v>7</v>
      </c>
      <c r="D253" s="35" t="s">
        <v>19</v>
      </c>
      <c r="E253" s="31" t="s">
        <v>544</v>
      </c>
      <c r="F253" s="32"/>
      <c r="G253" s="11">
        <v>5</v>
      </c>
      <c r="H253" s="11"/>
      <c r="I253" s="13">
        <f t="shared" si="15"/>
        <v>5</v>
      </c>
      <c r="O253" s="16">
        <f t="shared" si="16"/>
        <v>5</v>
      </c>
      <c r="P253" s="17">
        <f t="shared" si="13"/>
        <v>0</v>
      </c>
      <c r="Q253" s="18">
        <f t="shared" si="14"/>
        <v>5</v>
      </c>
      <c r="AF253" s="3">
        <v>5</v>
      </c>
    </row>
    <row r="254" spans="1:38" s="3" customFormat="1" ht="33" x14ac:dyDescent="0.25">
      <c r="A254" s="21" t="s">
        <v>519</v>
      </c>
      <c r="B254" s="33" t="s">
        <v>520</v>
      </c>
      <c r="C254" s="34" t="s">
        <v>521</v>
      </c>
      <c r="D254" s="35" t="s">
        <v>19</v>
      </c>
      <c r="E254" s="31" t="s">
        <v>544</v>
      </c>
      <c r="F254" s="32"/>
      <c r="G254" s="11">
        <v>2</v>
      </c>
      <c r="H254" s="11"/>
      <c r="I254" s="13">
        <f t="shared" si="15"/>
        <v>2</v>
      </c>
      <c r="O254" s="16">
        <f t="shared" si="16"/>
        <v>2</v>
      </c>
      <c r="P254" s="17">
        <f t="shared" si="13"/>
        <v>0</v>
      </c>
      <c r="Q254" s="18">
        <f t="shared" si="14"/>
        <v>2</v>
      </c>
      <c r="AB254" s="49">
        <v>2</v>
      </c>
    </row>
    <row r="255" spans="1:38" s="3" customFormat="1" ht="33" x14ac:dyDescent="0.25">
      <c r="A255" s="21" t="s">
        <v>522</v>
      </c>
      <c r="B255" s="33" t="s">
        <v>523</v>
      </c>
      <c r="C255" s="34" t="s">
        <v>7</v>
      </c>
      <c r="D255" s="35" t="s">
        <v>19</v>
      </c>
      <c r="E255" s="31" t="s">
        <v>544</v>
      </c>
      <c r="F255" s="32"/>
      <c r="G255" s="11">
        <v>1</v>
      </c>
      <c r="H255" s="11"/>
      <c r="I255" s="13">
        <f t="shared" si="15"/>
        <v>1</v>
      </c>
      <c r="O255" s="16">
        <f t="shared" si="16"/>
        <v>1</v>
      </c>
      <c r="P255" s="17">
        <f t="shared" si="13"/>
        <v>0</v>
      </c>
      <c r="Q255" s="18">
        <f t="shared" si="14"/>
        <v>1</v>
      </c>
      <c r="Y255" s="49">
        <v>1</v>
      </c>
    </row>
    <row r="256" spans="1:38" s="3" customFormat="1" ht="33" x14ac:dyDescent="0.25">
      <c r="A256" s="21" t="s">
        <v>524</v>
      </c>
      <c r="B256" s="33" t="s">
        <v>525</v>
      </c>
      <c r="C256" s="34" t="s">
        <v>7</v>
      </c>
      <c r="D256" s="35" t="s">
        <v>19</v>
      </c>
      <c r="E256" s="31" t="s">
        <v>544</v>
      </c>
      <c r="F256" s="32"/>
      <c r="G256" s="11">
        <v>2</v>
      </c>
      <c r="H256" s="11"/>
      <c r="I256" s="13">
        <f t="shared" si="15"/>
        <v>2</v>
      </c>
      <c r="O256" s="16">
        <f t="shared" si="16"/>
        <v>2</v>
      </c>
      <c r="P256" s="17">
        <f t="shared" si="13"/>
        <v>0</v>
      </c>
      <c r="Q256" s="18">
        <f t="shared" si="14"/>
        <v>2</v>
      </c>
      <c r="AF256" s="3">
        <v>2</v>
      </c>
    </row>
    <row r="257" spans="1:36" s="3" customFormat="1" ht="33" x14ac:dyDescent="0.25">
      <c r="A257" s="21" t="s">
        <v>526</v>
      </c>
      <c r="B257" s="33" t="s">
        <v>527</v>
      </c>
      <c r="C257" s="34" t="s">
        <v>7</v>
      </c>
      <c r="D257" s="35" t="s">
        <v>19</v>
      </c>
      <c r="E257" s="31" t="s">
        <v>544</v>
      </c>
      <c r="F257" s="32"/>
      <c r="G257" s="11">
        <v>1</v>
      </c>
      <c r="H257" s="11"/>
      <c r="I257" s="13">
        <f t="shared" si="15"/>
        <v>1</v>
      </c>
      <c r="O257" s="16">
        <f t="shared" si="16"/>
        <v>1</v>
      </c>
      <c r="P257" s="17">
        <f t="shared" si="13"/>
        <v>0</v>
      </c>
      <c r="Q257" s="18">
        <f t="shared" si="14"/>
        <v>1</v>
      </c>
      <c r="AF257" s="3">
        <v>1</v>
      </c>
    </row>
    <row r="258" spans="1:36" s="3" customFormat="1" x14ac:dyDescent="0.25">
      <c r="A258" s="21">
        <v>3.8</v>
      </c>
      <c r="B258" s="36" t="s">
        <v>528</v>
      </c>
      <c r="C258" s="34" t="s">
        <v>6</v>
      </c>
      <c r="D258" s="35"/>
      <c r="E258" s="31"/>
      <c r="F258" s="32"/>
      <c r="G258" s="11"/>
      <c r="H258" s="11"/>
      <c r="I258" s="13">
        <f t="shared" si="15"/>
        <v>0</v>
      </c>
      <c r="O258" s="16">
        <f t="shared" si="16"/>
        <v>0</v>
      </c>
      <c r="P258" s="17">
        <f t="shared" si="13"/>
        <v>0</v>
      </c>
      <c r="Q258" s="18">
        <f t="shared" si="14"/>
        <v>0</v>
      </c>
    </row>
    <row r="259" spans="1:36" s="3" customFormat="1" x14ac:dyDescent="0.25">
      <c r="A259" s="21" t="s">
        <v>529</v>
      </c>
      <c r="B259" s="33" t="s">
        <v>530</v>
      </c>
      <c r="C259" s="34" t="s">
        <v>189</v>
      </c>
      <c r="D259" s="35" t="s">
        <v>571</v>
      </c>
      <c r="E259" s="31" t="s">
        <v>544</v>
      </c>
      <c r="F259" s="32"/>
      <c r="G259" s="11">
        <v>24</v>
      </c>
      <c r="H259" s="11"/>
      <c r="I259" s="13">
        <f t="shared" si="15"/>
        <v>24</v>
      </c>
      <c r="O259" s="16">
        <f t="shared" si="16"/>
        <v>24</v>
      </c>
      <c r="P259" s="17">
        <f t="shared" si="13"/>
        <v>0</v>
      </c>
      <c r="Q259" s="18">
        <f t="shared" si="14"/>
        <v>24</v>
      </c>
      <c r="R259" s="48">
        <v>24</v>
      </c>
    </row>
    <row r="260" spans="1:36" s="3" customFormat="1" x14ac:dyDescent="0.25">
      <c r="A260" s="21" t="s">
        <v>531</v>
      </c>
      <c r="B260" s="33" t="s">
        <v>532</v>
      </c>
      <c r="C260" s="34" t="s">
        <v>189</v>
      </c>
      <c r="D260" s="35" t="s">
        <v>571</v>
      </c>
      <c r="E260" s="31" t="s">
        <v>544</v>
      </c>
      <c r="F260" s="32"/>
      <c r="G260" s="11">
        <v>6</v>
      </c>
      <c r="H260" s="11"/>
      <c r="I260" s="13">
        <f t="shared" si="15"/>
        <v>6</v>
      </c>
      <c r="O260" s="16">
        <f t="shared" si="16"/>
        <v>6</v>
      </c>
      <c r="P260" s="17">
        <f t="shared" si="13"/>
        <v>0</v>
      </c>
      <c r="Q260" s="18">
        <f t="shared" si="14"/>
        <v>6</v>
      </c>
      <c r="R260" s="48">
        <v>6</v>
      </c>
    </row>
    <row r="261" spans="1:36" s="3" customFormat="1" x14ac:dyDescent="0.25">
      <c r="A261" s="21" t="s">
        <v>533</v>
      </c>
      <c r="B261" s="33" t="s">
        <v>534</v>
      </c>
      <c r="C261" s="34" t="s">
        <v>535</v>
      </c>
      <c r="D261" s="35" t="s">
        <v>571</v>
      </c>
      <c r="E261" s="31" t="s">
        <v>544</v>
      </c>
      <c r="F261" s="32"/>
      <c r="G261" s="11">
        <v>60</v>
      </c>
      <c r="H261" s="11"/>
      <c r="I261" s="13">
        <f t="shared" ref="I261:I267" si="17">+G261-H261</f>
        <v>60</v>
      </c>
      <c r="O261" s="16">
        <f t="shared" ref="O261:O267" si="18">SUM(I261:N261)</f>
        <v>60</v>
      </c>
      <c r="P261" s="17">
        <f t="shared" ref="P261:P267" si="19">+Q261-O261</f>
        <v>0</v>
      </c>
      <c r="Q261" s="18">
        <f t="shared" ref="Q261:Q268" si="20">SUM(R261:EF261)</f>
        <v>60</v>
      </c>
      <c r="R261" s="48">
        <v>60</v>
      </c>
    </row>
    <row r="262" spans="1:36" s="3" customFormat="1" x14ac:dyDescent="0.25">
      <c r="A262" s="44">
        <v>3.9</v>
      </c>
      <c r="B262" s="45" t="s">
        <v>563</v>
      </c>
      <c r="C262" s="46" t="s">
        <v>6</v>
      </c>
      <c r="D262" s="35" t="s">
        <v>571</v>
      </c>
      <c r="E262" s="31" t="s">
        <v>540</v>
      </c>
      <c r="F262" s="32"/>
      <c r="G262" s="11"/>
      <c r="H262" s="11"/>
      <c r="I262" s="13">
        <f t="shared" si="17"/>
        <v>0</v>
      </c>
      <c r="J262" s="3">
        <v>1</v>
      </c>
      <c r="O262" s="16">
        <f t="shared" si="18"/>
        <v>1</v>
      </c>
      <c r="P262" s="17">
        <f t="shared" si="19"/>
        <v>0</v>
      </c>
      <c r="Q262" s="18">
        <f t="shared" si="20"/>
        <v>1</v>
      </c>
      <c r="AD262" s="49">
        <v>1</v>
      </c>
    </row>
    <row r="263" spans="1:36" s="3" customFormat="1" x14ac:dyDescent="0.25">
      <c r="A263" s="47" t="s">
        <v>564</v>
      </c>
      <c r="B263" s="45" t="s">
        <v>565</v>
      </c>
      <c r="C263" s="46" t="s">
        <v>52</v>
      </c>
      <c r="D263" s="35" t="s">
        <v>571</v>
      </c>
      <c r="E263" s="31" t="s">
        <v>544</v>
      </c>
      <c r="F263" s="32"/>
      <c r="G263" s="11"/>
      <c r="H263" s="11"/>
      <c r="I263" s="13">
        <f t="shared" si="17"/>
        <v>0</v>
      </c>
      <c r="J263" s="3">
        <v>2</v>
      </c>
      <c r="O263" s="16">
        <f t="shared" si="18"/>
        <v>2</v>
      </c>
      <c r="P263" s="17">
        <f t="shared" si="19"/>
        <v>0</v>
      </c>
      <c r="Q263" s="18">
        <f t="shared" si="20"/>
        <v>2</v>
      </c>
      <c r="AD263" s="49">
        <v>2</v>
      </c>
    </row>
    <row r="264" spans="1:36" s="3" customFormat="1" x14ac:dyDescent="0.25">
      <c r="A264" s="47" t="s">
        <v>560</v>
      </c>
      <c r="B264" s="45" t="s">
        <v>566</v>
      </c>
      <c r="C264" s="46" t="s">
        <v>52</v>
      </c>
      <c r="D264" s="35" t="s">
        <v>571</v>
      </c>
      <c r="E264" s="31" t="s">
        <v>540</v>
      </c>
      <c r="F264" s="32"/>
      <c r="G264" s="11"/>
      <c r="H264" s="11"/>
      <c r="I264" s="13">
        <f t="shared" ref="I264:I265" si="21">+G264-H264</f>
        <v>0</v>
      </c>
      <c r="J264" s="3">
        <v>2</v>
      </c>
      <c r="O264" s="16">
        <f t="shared" ref="O264:O265" si="22">SUM(I264:N264)</f>
        <v>2</v>
      </c>
      <c r="P264" s="17">
        <f t="shared" ref="P264:P265" si="23">+Q264-O264</f>
        <v>0</v>
      </c>
      <c r="Q264" s="18">
        <f t="shared" ref="Q264:Q265" si="24">SUM(R264:EF264)</f>
        <v>2</v>
      </c>
      <c r="AH264" s="3">
        <v>2</v>
      </c>
    </row>
    <row r="265" spans="1:36" s="3" customFormat="1" x14ac:dyDescent="0.25">
      <c r="A265" s="47" t="s">
        <v>580</v>
      </c>
      <c r="B265" s="45" t="s">
        <v>581</v>
      </c>
      <c r="C265" s="46" t="s">
        <v>189</v>
      </c>
      <c r="D265" s="35" t="s">
        <v>571</v>
      </c>
      <c r="E265" s="31" t="s">
        <v>540</v>
      </c>
      <c r="F265" s="32"/>
      <c r="G265" s="11"/>
      <c r="H265" s="11"/>
      <c r="I265" s="13">
        <f t="shared" si="21"/>
        <v>0</v>
      </c>
      <c r="M265" s="3">
        <v>1</v>
      </c>
      <c r="O265" s="16">
        <f t="shared" si="22"/>
        <v>1</v>
      </c>
      <c r="P265" s="17">
        <f t="shared" si="23"/>
        <v>0</v>
      </c>
      <c r="Q265" s="18">
        <f t="shared" si="24"/>
        <v>1</v>
      </c>
      <c r="AJ265" s="49">
        <v>1</v>
      </c>
    </row>
    <row r="266" spans="1:36" s="3" customFormat="1" ht="33" x14ac:dyDescent="0.25">
      <c r="A266" s="47" t="s">
        <v>582</v>
      </c>
      <c r="B266" s="45" t="s">
        <v>583</v>
      </c>
      <c r="C266" s="46" t="s">
        <v>584</v>
      </c>
      <c r="D266" s="35" t="s">
        <v>571</v>
      </c>
      <c r="E266" s="31" t="s">
        <v>540</v>
      </c>
      <c r="F266" s="32"/>
      <c r="G266" s="11"/>
      <c r="H266" s="11"/>
      <c r="I266" s="13">
        <f t="shared" si="17"/>
        <v>0</v>
      </c>
      <c r="M266" s="3">
        <v>1</v>
      </c>
      <c r="O266" s="16">
        <f t="shared" si="18"/>
        <v>1</v>
      </c>
      <c r="P266" s="17">
        <f t="shared" si="19"/>
        <v>0</v>
      </c>
      <c r="Q266" s="18">
        <f t="shared" si="20"/>
        <v>1</v>
      </c>
      <c r="AJ266" s="49">
        <v>1</v>
      </c>
    </row>
    <row r="267" spans="1:36" s="3" customFormat="1" x14ac:dyDescent="0.25">
      <c r="A267" s="47" t="s">
        <v>561</v>
      </c>
      <c r="B267" s="45" t="s">
        <v>567</v>
      </c>
      <c r="C267" s="46" t="s">
        <v>52</v>
      </c>
      <c r="D267" s="35" t="s">
        <v>571</v>
      </c>
      <c r="E267" s="31" t="s">
        <v>540</v>
      </c>
      <c r="F267" s="32"/>
      <c r="G267" s="11"/>
      <c r="H267" s="11"/>
      <c r="I267" s="13">
        <f t="shared" si="17"/>
        <v>0</v>
      </c>
      <c r="J267" s="3">
        <v>2</v>
      </c>
      <c r="O267" s="16">
        <f t="shared" si="18"/>
        <v>2</v>
      </c>
      <c r="P267" s="17">
        <f t="shared" si="19"/>
        <v>0</v>
      </c>
      <c r="Q267" s="18">
        <f t="shared" si="20"/>
        <v>2</v>
      </c>
      <c r="AH267" s="3">
        <v>2</v>
      </c>
    </row>
    <row r="268" spans="1:36" s="3" customFormat="1" x14ac:dyDescent="0.25">
      <c r="A268" s="47" t="s">
        <v>562</v>
      </c>
      <c r="B268" s="45" t="s">
        <v>568</v>
      </c>
      <c r="C268" s="46" t="s">
        <v>52</v>
      </c>
      <c r="D268" s="35" t="s">
        <v>571</v>
      </c>
      <c r="E268" s="31" t="s">
        <v>540</v>
      </c>
      <c r="F268" s="32"/>
      <c r="G268" s="11"/>
      <c r="H268" s="11"/>
      <c r="I268" s="13">
        <f t="shared" si="15"/>
        <v>0</v>
      </c>
      <c r="J268" s="3">
        <v>1</v>
      </c>
      <c r="O268" s="16">
        <f t="shared" si="16"/>
        <v>1</v>
      </c>
      <c r="P268" s="17">
        <f t="shared" ref="P268" si="25">+Q268-O268</f>
        <v>0</v>
      </c>
      <c r="Q268" s="18">
        <f t="shared" si="20"/>
        <v>1</v>
      </c>
      <c r="AH268" s="3">
        <v>1</v>
      </c>
    </row>
    <row r="269" spans="1:36" s="3" customFormat="1" x14ac:dyDescent="0.25">
      <c r="A269" s="38"/>
      <c r="B269" s="39"/>
      <c r="C269" s="40"/>
      <c r="D269" s="41"/>
      <c r="E269" s="42"/>
      <c r="F269" s="43"/>
      <c r="G269" s="11"/>
      <c r="H269" s="11"/>
      <c r="I269" s="6"/>
      <c r="Q269" s="18">
        <f t="shared" ref="Q269" si="26">SUM(R269:EF269)</f>
        <v>0</v>
      </c>
    </row>
  </sheetData>
  <autoFilter ref="A3:WTK269" xr:uid="{00000000-0001-0000-0000-000000000000}"/>
  <dataConsolidate/>
  <mergeCells count="2">
    <mergeCell ref="A2:C2"/>
    <mergeCell ref="F2:O2"/>
  </mergeCells>
  <phoneticPr fontId="4" type="noConversion"/>
  <conditionalFormatting sqref="P3:P268">
    <cfRule type="cellIs" dxfId="0" priority="1" operator="lessThan">
      <formula>0</formula>
    </cfRule>
  </conditionalFormatting>
  <printOptions horizontalCentered="1"/>
  <pageMargins left="0.47244094488188981" right="0.31496062992125984" top="0.39370078740157483" bottom="0.42" header="0.43307086614173229" footer="0.17"/>
  <pageSetup paperSize="8" scale="90" fitToHeight="0" orientation="landscape" r:id="rId1"/>
  <headerFooter alignWithMargins="0">
    <oddFooter>&amp;C第 &amp;P 頁，共 &amp;N 頁&amp;RR-7-03-02A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FITTING</vt:lpstr>
      <vt:lpstr>FITTING!Print_Area</vt:lpstr>
      <vt:lpstr>FITTING!Print_Titles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藍 上士</cp:lastModifiedBy>
  <cp:lastPrinted>2025-05-26T03:41:30Z</cp:lastPrinted>
  <dcterms:created xsi:type="dcterms:W3CDTF">2013-07-05T02:12:06Z</dcterms:created>
  <dcterms:modified xsi:type="dcterms:W3CDTF">2026-02-02T06:28:41Z</dcterms:modified>
</cp:coreProperties>
</file>