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50\3勝一\SE-39(彰濱)-消防管+工業級\02.工程材料\"/>
    </mc:Choice>
  </mc:AlternateContent>
  <xr:revisionPtr revIDLastSave="0" documentId="13_ncr:1_{121BCCCA-DAD9-4CF6-A105-6CBDA49123A0}" xr6:coauthVersionLast="47" xr6:coauthVersionMax="47" xr10:uidLastSave="{00000000-0000-0000-0000-000000000000}"/>
  <bookViews>
    <workbookView xWindow="-28920" yWindow="-1275" windowWidth="29040" windowHeight="15840" xr2:uid="{00000000-000D-0000-FFFF-FFFF00000000}"/>
  </bookViews>
  <sheets>
    <sheet name="GASKET" sheetId="4" r:id="rId1"/>
  </sheets>
  <definedNames>
    <definedName name="_xlnm._FilterDatabase" localSheetId="0" hidden="1">GASKET!$A$3:$WTU$85</definedName>
    <definedName name="_xlnm.Print_Area" localSheetId="0">GASKET!$A$1:$AB$66</definedName>
    <definedName name="_xlnm.Print_Titles" localSheetId="0">GASKET!$3:$3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5" i="4" l="1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I58" i="4"/>
  <c r="O58" i="4" s="1"/>
  <c r="O57" i="4"/>
  <c r="I56" i="4"/>
  <c r="O56" i="4" s="1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AB85" i="4"/>
  <c r="Z85" i="4"/>
  <c r="R85" i="4"/>
  <c r="AB84" i="4"/>
  <c r="Z84" i="4"/>
  <c r="R84" i="4"/>
  <c r="AB83" i="4"/>
  <c r="Z83" i="4"/>
  <c r="AA83" i="4" s="1"/>
  <c r="R83" i="4"/>
  <c r="AB82" i="4"/>
  <c r="Z82" i="4"/>
  <c r="R82" i="4"/>
  <c r="AB81" i="4"/>
  <c r="Z81" i="4"/>
  <c r="R81" i="4"/>
  <c r="AB80" i="4"/>
  <c r="Z80" i="4"/>
  <c r="R80" i="4"/>
  <c r="AB79" i="4"/>
  <c r="Z79" i="4"/>
  <c r="R79" i="4"/>
  <c r="AB78" i="4"/>
  <c r="Z78" i="4"/>
  <c r="R78" i="4"/>
  <c r="AB77" i="4"/>
  <c r="Z77" i="4"/>
  <c r="AA77" i="4" s="1"/>
  <c r="R77" i="4"/>
  <c r="AB76" i="4"/>
  <c r="Z76" i="4"/>
  <c r="R76" i="4"/>
  <c r="AB75" i="4"/>
  <c r="Z75" i="4"/>
  <c r="R75" i="4"/>
  <c r="AB74" i="4"/>
  <c r="Z74" i="4"/>
  <c r="R74" i="4"/>
  <c r="AB73" i="4"/>
  <c r="Z73" i="4"/>
  <c r="R73" i="4"/>
  <c r="AB72" i="4"/>
  <c r="Z72" i="4"/>
  <c r="R72" i="4"/>
  <c r="AB71" i="4"/>
  <c r="Z71" i="4"/>
  <c r="R71" i="4"/>
  <c r="AB70" i="4"/>
  <c r="Z70" i="4"/>
  <c r="R70" i="4"/>
  <c r="AB69" i="4"/>
  <c r="Z69" i="4"/>
  <c r="R69" i="4"/>
  <c r="AB68" i="4"/>
  <c r="Z68" i="4"/>
  <c r="R68" i="4"/>
  <c r="AB67" i="4"/>
  <c r="Z67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AB4" i="4"/>
  <c r="Z4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AA81" i="4" l="1"/>
  <c r="AA76" i="4"/>
  <c r="AA74" i="4"/>
  <c r="AA72" i="4"/>
  <c r="AA71" i="4"/>
  <c r="AA68" i="4"/>
  <c r="AA73" i="4"/>
  <c r="AA82" i="4"/>
  <c r="AA69" i="4"/>
  <c r="AA67" i="4"/>
  <c r="AA78" i="4"/>
  <c r="AA84" i="4"/>
  <c r="AA80" i="4"/>
  <c r="AA75" i="4"/>
  <c r="AA70" i="4"/>
  <c r="AA85" i="4"/>
  <c r="AA79" i="4"/>
  <c r="AA4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5" i="4" l="1"/>
  <c r="Z5" i="4"/>
  <c r="AA24" i="4" l="1"/>
  <c r="AA23" i="4"/>
  <c r="AA45" i="4"/>
  <c r="AA22" i="4"/>
  <c r="AA44" i="4"/>
  <c r="AA25" i="4"/>
  <c r="AA36" i="4"/>
  <c r="AA37" i="4"/>
  <c r="AA51" i="4"/>
  <c r="AA50" i="4"/>
  <c r="AA43" i="4"/>
  <c r="AA63" i="4"/>
  <c r="AA19" i="4"/>
  <c r="AA61" i="4"/>
  <c r="AA17" i="4"/>
  <c r="AA16" i="4"/>
  <c r="AA58" i="4"/>
  <c r="AA57" i="4"/>
  <c r="AA66" i="4"/>
  <c r="AA65" i="4"/>
  <c r="AA64" i="4"/>
  <c r="AA42" i="4"/>
  <c r="AA62" i="4"/>
  <c r="AA18" i="4"/>
  <c r="AA39" i="4"/>
  <c r="AA59" i="4"/>
  <c r="AA21" i="4"/>
  <c r="AA20" i="4"/>
  <c r="AA41" i="4"/>
  <c r="AA40" i="4"/>
  <c r="AA60" i="4"/>
  <c r="AA38" i="4"/>
  <c r="AA15" i="4"/>
  <c r="AA32" i="4"/>
  <c r="AA56" i="4"/>
  <c r="AA35" i="4"/>
  <c r="AA14" i="4"/>
  <c r="AA55" i="4"/>
  <c r="AA34" i="4"/>
  <c r="AA13" i="4"/>
  <c r="AA54" i="4"/>
  <c r="AA33" i="4"/>
  <c r="AA12" i="4"/>
  <c r="AA53" i="4"/>
  <c r="AA11" i="4"/>
  <c r="AA52" i="4"/>
  <c r="AA10" i="4"/>
  <c r="AA9" i="4"/>
  <c r="AA30" i="4"/>
  <c r="AA7" i="4"/>
  <c r="AA6" i="4"/>
  <c r="AA47" i="4"/>
  <c r="AA27" i="4"/>
  <c r="AA5" i="4"/>
  <c r="AA31" i="4"/>
  <c r="AA8" i="4"/>
  <c r="AA49" i="4"/>
  <c r="AA29" i="4"/>
  <c r="AA48" i="4"/>
  <c r="AA28" i="4"/>
  <c r="AA46" i="4"/>
  <c r="AA26" i="4"/>
</calcChain>
</file>

<file path=xl/sharedStrings.xml><?xml version="1.0" encoding="utf-8"?>
<sst xmlns="http://schemas.openxmlformats.org/spreadsheetml/2006/main" count="364" uniqueCount="87">
  <si>
    <t>材料管制單</t>
    <phoneticPr fontId="5" type="noConversion"/>
  </si>
  <si>
    <t>採購數量</t>
    <phoneticPr fontId="6" type="noConversion"/>
  </si>
  <si>
    <t>數量
(庫存)</t>
    <phoneticPr fontId="6" type="noConversion"/>
  </si>
  <si>
    <t>累計採購數量</t>
    <phoneticPr fontId="6" type="noConversion"/>
  </si>
  <si>
    <t>差異數量</t>
    <phoneticPr fontId="6" type="noConversion"/>
  </si>
  <si>
    <t>累計收料</t>
    <phoneticPr fontId="6" type="noConversion"/>
  </si>
  <si>
    <t>數量
(9/24)</t>
    <phoneticPr fontId="4" type="noConversion"/>
  </si>
  <si>
    <t>品名</t>
  </si>
  <si>
    <t>Size</t>
  </si>
  <si>
    <t>Description</t>
  </si>
  <si>
    <t>Unit</t>
  </si>
  <si>
    <t>數量
(9/23)</t>
    <phoneticPr fontId="6" type="noConversion"/>
  </si>
  <si>
    <t>日期: 2025年 09月 23日</t>
    <phoneticPr fontId="6" type="noConversion"/>
  </si>
  <si>
    <t>訂購編號：20250923-002</t>
    <phoneticPr fontId="6" type="noConversion"/>
  </si>
  <si>
    <t>GASKET</t>
  </si>
  <si>
    <t>GR-1/2"-ZW#7500</t>
  </si>
  <si>
    <t>GASKET 150# RF 3.0 MM THICK VIRGIN PTFE ZW#7500 ASME B16.21/B16.5</t>
  </si>
  <si>
    <t>PC</t>
  </si>
  <si>
    <t>GR-3/4"-ZW#7500</t>
  </si>
  <si>
    <t>GR-1"-ZW#7500</t>
  </si>
  <si>
    <t>GR-1.1/2"-ZW#7500</t>
  </si>
  <si>
    <t>GR-1.1/4"-ZW#7500</t>
  </si>
  <si>
    <t>GR-2"-ZW#7500</t>
  </si>
  <si>
    <t>GR-3"-ZW#7500</t>
  </si>
  <si>
    <t>GR-4"-ZW#7500</t>
  </si>
  <si>
    <t>GR-6"-ZW#7500</t>
  </si>
  <si>
    <t>GR-8"-ZW#7500</t>
  </si>
  <si>
    <t>GR-10"-ZW#7500</t>
  </si>
  <si>
    <t>GR-12"-ZW#7500</t>
  </si>
  <si>
    <t>GR-1/2"</t>
  </si>
  <si>
    <t>GASKET 150# RF 4.5 MM THICK 304SS SPIRAL WOUND W/GRAPHITE FILLER W/CS OUTER RING ASME B16.20/B16.5</t>
  </si>
  <si>
    <t>GR-3/4"</t>
  </si>
  <si>
    <t>GR-1"</t>
  </si>
  <si>
    <t>GR-1.1/2"</t>
  </si>
  <si>
    <t>GR-2"</t>
  </si>
  <si>
    <t>GR-3"</t>
  </si>
  <si>
    <t>GR-4"</t>
  </si>
  <si>
    <t>GR-6"</t>
  </si>
  <si>
    <t>GR-8"</t>
  </si>
  <si>
    <t>GR-12"</t>
  </si>
  <si>
    <t>GR-14"</t>
  </si>
  <si>
    <t>GASKET 150# RF 4.5 MM THICK 304SS SPIRAL WOUND W/GRAPHITE FILLER W/SS304 OUTER RING ASME B16.20/B16.5</t>
  </si>
  <si>
    <t>GR-2.1/2"</t>
  </si>
  <si>
    <t>GR-20"</t>
  </si>
  <si>
    <t>GR-5"</t>
  </si>
  <si>
    <t>GR-10"</t>
  </si>
  <si>
    <t>GR3-1"-ZW#7500</t>
  </si>
  <si>
    <t>GASKET 300# RF 3.0 MM THICK VIRGIN PTFE ZW#7500 ASME B16.21/B16.5</t>
  </si>
  <si>
    <t>GR3-1.1/4"-ZW#7500</t>
  </si>
  <si>
    <t>GR3-2"-ZW#7500</t>
  </si>
  <si>
    <t>GR3-3"-ZW#7500</t>
  </si>
  <si>
    <t>GR3-4"-ZW#7500</t>
  </si>
  <si>
    <t>GR3-8"-ZW#7500</t>
  </si>
  <si>
    <t>GR3-12"-ZW#7500</t>
  </si>
  <si>
    <t>GASKET 300# RF 4.5 MM THICK 304SS SPIRAL WOUND W/GRAPHITE FILLER W/CS OUTER RING ASME B16.20/B16.5</t>
  </si>
  <si>
    <t>GF-2.1/2"</t>
  </si>
  <si>
    <t>Item</t>
  </si>
  <si>
    <t>GR-16"</t>
  </si>
  <si>
    <t>GR-18"</t>
  </si>
  <si>
    <t>GR-24"</t>
  </si>
  <si>
    <t>GASKET 300# RF 4.5 MM THICK 304SS SPIRAL WOUND W/GRAPHITE FILLER W/SS OUTER RING ASME B16.20/B16.5</t>
  </si>
  <si>
    <t>GASKET 150# FF 3.0 MM THICK COMP. NON-ASB. SYNTHETIC FIBER W/NBR BINDER ASME B16.21/B16.5</t>
  </si>
  <si>
    <t>GF-12"</t>
  </si>
  <si>
    <t>GF-16"</t>
  </si>
  <si>
    <t>合約數量</t>
  </si>
  <si>
    <t>TOTAL數量</t>
    <phoneticPr fontId="4" type="noConversion"/>
  </si>
  <si>
    <t>工業級數量</t>
    <phoneticPr fontId="6" type="noConversion"/>
  </si>
  <si>
    <t>消防數量</t>
    <phoneticPr fontId="6" type="noConversion"/>
  </si>
  <si>
    <t>收料數量
(10/3)</t>
    <phoneticPr fontId="6" type="noConversion"/>
  </si>
  <si>
    <t>GR-1.1/4"</t>
  </si>
  <si>
    <t>GF-4"</t>
  </si>
  <si>
    <t>GF-6"</t>
  </si>
  <si>
    <t>GASKET 150# RF 3 MM THICK 非石綿</t>
  </si>
  <si>
    <t>GASKET 300# RF 3 MM THICK 非石綿</t>
  </si>
  <si>
    <t>洗滌塔數量</t>
    <phoneticPr fontId="6" type="noConversion"/>
  </si>
  <si>
    <t>VER.2數量</t>
    <phoneticPr fontId="6" type="noConversion"/>
  </si>
  <si>
    <t>地下管數量</t>
    <phoneticPr fontId="6" type="noConversion"/>
  </si>
  <si>
    <t>臨時數量</t>
    <phoneticPr fontId="6" type="noConversion"/>
  </si>
  <si>
    <t>小計數量</t>
    <phoneticPr fontId="6" type="noConversion"/>
  </si>
  <si>
    <t>數量
(11/04)</t>
    <phoneticPr fontId="4" type="noConversion"/>
  </si>
  <si>
    <t>收料數量
(10/13)</t>
    <phoneticPr fontId="6" type="noConversion"/>
  </si>
  <si>
    <t>數量
(12/04)</t>
    <phoneticPr fontId="4" type="noConversion"/>
  </si>
  <si>
    <t>12/4數量</t>
  </si>
  <si>
    <t>1/9數量</t>
    <phoneticPr fontId="4" type="noConversion"/>
  </si>
  <si>
    <t>數量
(1/9)</t>
    <phoneticPr fontId="4" type="noConversion"/>
  </si>
  <si>
    <t>1/15數量</t>
    <phoneticPr fontId="4" type="noConversion"/>
  </si>
  <si>
    <t>收料數量
(01/16)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</si>
</sst>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</numFmts>
  <fonts count="1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標楷體"/>
      <family val="4"/>
      <charset val="136"/>
    </font>
    <font>
      <sz val="22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2"/>
      <color theme="1"/>
      <name val="標楷體"/>
      <family val="4"/>
      <charset val="136"/>
    </font>
    <font>
      <sz val="10"/>
      <color rgb="FF000000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indexed="8"/>
      <name val="微軟正黑體"/>
      <family val="2"/>
      <charset val="136"/>
    </font>
    <font>
      <sz val="1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/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176" fontId="2" fillId="0" borderId="0" xfId="8" applyNumberFormat="1" applyFont="1">
      <alignment vertical="center"/>
    </xf>
    <xf numFmtId="43" fontId="8" fillId="0" borderId="0" xfId="8" quotePrefix="1" applyFont="1" applyAlignment="1">
      <alignment horizontal="left"/>
    </xf>
    <xf numFmtId="43" fontId="2" fillId="0" borderId="0" xfId="8" applyFont="1">
      <alignment vertical="center"/>
    </xf>
    <xf numFmtId="0" fontId="2" fillId="0" borderId="0" xfId="1" applyAlignment="1">
      <alignment vertical="center" wrapText="1"/>
    </xf>
    <xf numFmtId="176" fontId="2" fillId="0" borderId="0" xfId="8" applyNumberFormat="1" applyFont="1" applyAlignment="1"/>
    <xf numFmtId="176" fontId="7" fillId="0" borderId="0" xfId="8" applyNumberFormat="1" applyFont="1">
      <alignment vertical="center"/>
    </xf>
    <xf numFmtId="0" fontId="3" fillId="0" borderId="0" xfId="0" quotePrefix="1" applyFont="1" applyAlignment="1"/>
    <xf numFmtId="176" fontId="12" fillId="2" borderId="0" xfId="8" applyNumberFormat="1" applyFont="1" applyFill="1" applyAlignment="1">
      <alignment horizontal="center" wrapText="1"/>
    </xf>
    <xf numFmtId="176" fontId="7" fillId="0" borderId="0" xfId="1" applyNumberFormat="1" applyFont="1">
      <alignment vertical="center"/>
    </xf>
    <xf numFmtId="41" fontId="2" fillId="0" borderId="0" xfId="0" applyNumberFormat="1" applyFont="1" applyAlignment="1"/>
    <xf numFmtId="0" fontId="2" fillId="3" borderId="0" xfId="0" applyFont="1" applyFill="1" applyAlignment="1">
      <alignment horizontal="center"/>
    </xf>
    <xf numFmtId="41" fontId="2" fillId="3" borderId="3" xfId="6" applyNumberFormat="1" applyFont="1" applyFill="1" applyBorder="1" applyAlignment="1">
      <alignment horizontal="center"/>
    </xf>
    <xf numFmtId="0" fontId="2" fillId="0" borderId="2" xfId="1" applyBorder="1">
      <alignment vertical="center"/>
    </xf>
    <xf numFmtId="0" fontId="2" fillId="0" borderId="1" xfId="1" applyBorder="1" applyAlignment="1">
      <alignment vertical="center" wrapText="1"/>
    </xf>
    <xf numFmtId="0" fontId="2" fillId="0" borderId="1" xfId="1" applyBorder="1">
      <alignment vertical="center"/>
    </xf>
    <xf numFmtId="43" fontId="2" fillId="0" borderId="1" xfId="8" applyFont="1" applyBorder="1">
      <alignment vertical="center"/>
    </xf>
    <xf numFmtId="176" fontId="2" fillId="0" borderId="4" xfId="8" applyNumberFormat="1" applyFont="1" applyBorder="1">
      <alignment vertical="center"/>
    </xf>
    <xf numFmtId="0" fontId="2" fillId="0" borderId="7" xfId="1" applyBorder="1">
      <alignment vertical="center"/>
    </xf>
    <xf numFmtId="0" fontId="2" fillId="0" borderId="8" xfId="1" applyBorder="1" applyAlignment="1">
      <alignment vertical="center" wrapText="1"/>
    </xf>
    <xf numFmtId="0" fontId="2" fillId="0" borderId="8" xfId="1" applyBorder="1">
      <alignment vertical="center"/>
    </xf>
    <xf numFmtId="43" fontId="2" fillId="0" borderId="8" xfId="8" applyFont="1" applyBorder="1">
      <alignment vertical="center"/>
    </xf>
    <xf numFmtId="176" fontId="2" fillId="0" borderId="9" xfId="8" applyNumberFormat="1" applyFont="1" applyBorder="1">
      <alignment vertical="center"/>
    </xf>
    <xf numFmtId="176" fontId="12" fillId="2" borderId="0" xfId="8" applyNumberFormat="1" applyFont="1" applyFill="1" applyBorder="1" applyAlignment="1">
      <alignment horizontal="center" wrapText="1"/>
    </xf>
    <xf numFmtId="176" fontId="3" fillId="0" borderId="0" xfId="8" quotePrefix="1" applyNumberFormat="1" applyFont="1" applyBorder="1" applyAlignment="1"/>
    <xf numFmtId="176" fontId="2" fillId="0" borderId="0" xfId="8" applyNumberFormat="1" applyFont="1" applyBorder="1">
      <alignment vertical="center"/>
    </xf>
    <xf numFmtId="176" fontId="2" fillId="0" borderId="0" xfId="8" applyNumberFormat="1" applyFont="1" applyBorder="1" applyAlignment="1">
      <alignment vertical="center"/>
    </xf>
    <xf numFmtId="41" fontId="2" fillId="0" borderId="0" xfId="6" applyNumberFormat="1" applyFont="1" applyFill="1" applyBorder="1" applyAlignment="1">
      <alignment vertical="center"/>
    </xf>
    <xf numFmtId="1" fontId="12" fillId="0" borderId="5" xfId="0" applyNumberFormat="1" applyFont="1" applyBorder="1">
      <alignment vertical="center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/>
    <xf numFmtId="0" fontId="2" fillId="0" borderId="2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176" fontId="2" fillId="0" borderId="0" xfId="8" applyNumberFormat="1" applyFont="1" applyAlignment="1">
      <alignment vertical="center"/>
    </xf>
    <xf numFmtId="0" fontId="2" fillId="0" borderId="3" xfId="0" applyFont="1" applyBorder="1" applyAlignment="1"/>
    <xf numFmtId="176" fontId="7" fillId="0" borderId="3" xfId="8" applyNumberFormat="1" applyFont="1" applyBorder="1" applyAlignment="1">
      <alignment horizontal="center" vertical="center"/>
    </xf>
    <xf numFmtId="0" fontId="2" fillId="0" borderId="0" xfId="0" applyFont="1" applyAlignment="1"/>
    <xf numFmtId="0" fontId="2" fillId="2" borderId="3" xfId="0" applyFont="1" applyFill="1" applyBorder="1" applyAlignment="1"/>
    <xf numFmtId="0" fontId="2" fillId="2" borderId="0" xfId="0" applyFont="1" applyFill="1" applyAlignment="1"/>
    <xf numFmtId="0" fontId="7" fillId="2" borderId="0" xfId="1" applyFont="1" applyFill="1">
      <alignment vertical="center"/>
    </xf>
    <xf numFmtId="0" fontId="2" fillId="0" borderId="0" xfId="1" quotePrefix="1" applyAlignment="1">
      <alignment horizontal="left"/>
    </xf>
    <xf numFmtId="176" fontId="2" fillId="0" borderId="0" xfId="8" applyNumberFormat="1" applyFont="1" applyAlignment="1">
      <alignment horizontal="center" vertical="center"/>
    </xf>
    <xf numFmtId="176" fontId="2" fillId="0" borderId="3" xfId="8" applyNumberFormat="1" applyFont="1" applyBorder="1" applyAlignment="1">
      <alignment horizontal="center" vertical="center"/>
    </xf>
  </cellXfs>
  <cellStyles count="25">
    <cellStyle name="一般" xfId="0" builtinId="0"/>
    <cellStyle name="一般 2" xfId="5" xr:uid="{00000000-0005-0000-0000-000001000000}"/>
    <cellStyle name="一般 2 2" xfId="1" xr:uid="{00000000-0005-0000-0000-000002000000}"/>
    <cellStyle name="一般 2 3" xfId="14" xr:uid="{06AA21AE-D46B-4963-ADC8-43DF701F49B0}"/>
    <cellStyle name="一般 2 4" xfId="12" xr:uid="{D0DB9807-250B-43C2-868F-54555DAA5921}"/>
    <cellStyle name="一般 3" xfId="4" xr:uid="{00000000-0005-0000-0000-000003000000}"/>
    <cellStyle name="千分位" xfId="8" builtinId="3"/>
    <cellStyle name="千分位 2" xfId="3" xr:uid="{00000000-0005-0000-0000-000005000000}"/>
    <cellStyle name="千分位 2 2" xfId="9" xr:uid="{CE25E828-7F3E-45C1-BF1E-C15E8B28BD63}"/>
    <cellStyle name="千分位 2 2 2" xfId="15" xr:uid="{0A27585A-0BD8-4337-AB88-9C4810BCD821}"/>
    <cellStyle name="千分位 2 2 2 2" xfId="24" xr:uid="{966C6FD1-A0A0-4290-BDFC-57D3E39C987E}"/>
    <cellStyle name="千分位 2 2 3" xfId="21" xr:uid="{DA3E1F02-1E65-4F53-8BD2-96C455F0208F}"/>
    <cellStyle name="千分位 2 3" xfId="11" xr:uid="{3A10886E-CAB1-4591-A78A-8802DF6F7453}"/>
    <cellStyle name="千分位 2 3 2" xfId="23" xr:uid="{7670EA5D-320B-4681-8AF8-E818F4643F62}"/>
    <cellStyle name="千分位 2 4" xfId="17" xr:uid="{EC529427-D3BB-4894-BCEA-D80097737992}"/>
    <cellStyle name="千分位 3" xfId="6" xr:uid="{00000000-0005-0000-0000-000006000000}"/>
    <cellStyle name="千分位 3 2" xfId="18" xr:uid="{B6405033-E2BC-4F30-B4C4-1844B025DF42}"/>
    <cellStyle name="千分位 4" xfId="20" xr:uid="{8DF142CA-83C5-4146-AC6E-B62329E58FDA}"/>
    <cellStyle name="千分位[0] 2" xfId="2" xr:uid="{00000000-0005-0000-0000-000007000000}"/>
    <cellStyle name="千分位[0] 2 2" xfId="10" xr:uid="{BAD4987A-3B66-48F7-9EEA-54A410582B75}"/>
    <cellStyle name="千分位[0] 2 2 2" xfId="22" xr:uid="{DB49AD7B-BC2A-4EA0-AC38-FB0F75E6DEE8}"/>
    <cellStyle name="千分位[0] 2 3" xfId="16" xr:uid="{1DC139FF-7E7E-4B52-9CAA-BCDCDD21978B}"/>
    <cellStyle name="千分位[0] 3" xfId="7" xr:uid="{00000000-0005-0000-0000-000008000000}"/>
    <cellStyle name="千分位[0] 3 2" xfId="19" xr:uid="{1994C1A5-AAB7-4C77-8C7F-2EE750CA9D2B}"/>
    <cellStyle name="百分比 2" xfId="13" xr:uid="{60577D5F-426A-438B-8DF5-0DA25C83CF3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AE87"/>
  <sheetViews>
    <sheetView tabSelected="1" zoomScale="90" zoomScaleNormal="90" workbookViewId="0">
      <pane xSplit="4" ySplit="3" topLeftCell="O34" activePane="bottomRight" state="frozen"/>
      <selection pane="topRight" activeCell="E1" sqref="E1"/>
      <selection pane="bottomLeft" activeCell="A4" sqref="A4"/>
      <selection pane="bottomRight" activeCell="A40" sqref="A40:XFD40"/>
    </sheetView>
  </sheetViews>
  <sheetFormatPr defaultColWidth="10" defaultRowHeight="16.2" outlineLevelCol="1" x14ac:dyDescent="0.3"/>
  <cols>
    <col min="1" max="1" width="6.88671875" style="1" customWidth="1"/>
    <col min="2" max="2" width="10.109375" style="8" customWidth="1"/>
    <col min="3" max="3" width="19.77734375" style="1" customWidth="1"/>
    <col min="4" max="4" width="48.6640625" style="7" customWidth="1"/>
    <col min="5" max="5" width="10" style="1" customWidth="1"/>
    <col min="6" max="14" width="11.6640625" style="5" hidden="1" customWidth="1" outlineLevel="1"/>
    <col min="15" max="15" width="11.6640625" style="5" customWidth="1" collapsed="1"/>
    <col min="16" max="17" width="11.6640625" style="5" customWidth="1"/>
    <col min="18" max="18" width="11.6640625" style="5" customWidth="1" outlineLevel="1"/>
    <col min="19" max="19" width="10.109375" style="5" customWidth="1" outlineLevel="1"/>
    <col min="20" max="20" width="10.109375" style="29" customWidth="1" outlineLevel="1"/>
    <col min="21" max="25" width="10" style="1" customWidth="1" outlineLevel="1"/>
    <col min="26" max="26" width="8.33203125" style="1" customWidth="1" outlineLevel="1" collapsed="1"/>
    <col min="27" max="27" width="10" style="1" customWidth="1" outlineLevel="1"/>
    <col min="28" max="28" width="10" style="1"/>
    <col min="29" max="29" width="10" style="1" outlineLevel="1"/>
    <col min="30" max="204" width="10" style="1"/>
    <col min="205" max="205" width="6.109375" style="1" customWidth="1"/>
    <col min="206" max="206" width="12.6640625" style="1" customWidth="1"/>
    <col min="207" max="207" width="15.6640625" style="1" customWidth="1"/>
    <col min="208" max="208" width="17.6640625" style="1" customWidth="1"/>
    <col min="209" max="209" width="9.88671875" style="1" customWidth="1"/>
    <col min="210" max="210" width="7.109375" style="1" customWidth="1"/>
    <col min="211" max="211" width="8.88671875" style="1" customWidth="1"/>
    <col min="212" max="212" width="10.88671875" style="1" customWidth="1"/>
    <col min="213" max="213" width="8" style="1" customWidth="1"/>
    <col min="214" max="215" width="10" style="1" customWidth="1"/>
    <col min="216" max="216" width="12.88671875" style="1" customWidth="1"/>
    <col min="217" max="217" width="13.44140625" style="1" customWidth="1"/>
    <col min="218" max="460" width="10" style="1"/>
    <col min="461" max="461" width="6.109375" style="1" customWidth="1"/>
    <col min="462" max="462" width="12.6640625" style="1" customWidth="1"/>
    <col min="463" max="463" width="15.6640625" style="1" customWidth="1"/>
    <col min="464" max="464" width="17.6640625" style="1" customWidth="1"/>
    <col min="465" max="465" width="9.88671875" style="1" customWidth="1"/>
    <col min="466" max="466" width="7.109375" style="1" customWidth="1"/>
    <col min="467" max="467" width="8.88671875" style="1" customWidth="1"/>
    <col min="468" max="468" width="10.88671875" style="1" customWidth="1"/>
    <col min="469" max="469" width="8" style="1" customWidth="1"/>
    <col min="470" max="471" width="10" style="1" customWidth="1"/>
    <col min="472" max="472" width="12.88671875" style="1" customWidth="1"/>
    <col min="473" max="473" width="13.44140625" style="1" customWidth="1"/>
    <col min="474" max="716" width="10" style="1"/>
    <col min="717" max="717" width="6.109375" style="1" customWidth="1"/>
    <col min="718" max="718" width="12.6640625" style="1" customWidth="1"/>
    <col min="719" max="719" width="15.6640625" style="1" customWidth="1"/>
    <col min="720" max="720" width="17.6640625" style="1" customWidth="1"/>
    <col min="721" max="721" width="9.88671875" style="1" customWidth="1"/>
    <col min="722" max="722" width="7.109375" style="1" customWidth="1"/>
    <col min="723" max="723" width="8.88671875" style="1" customWidth="1"/>
    <col min="724" max="724" width="10.88671875" style="1" customWidth="1"/>
    <col min="725" max="725" width="8" style="1" customWidth="1"/>
    <col min="726" max="727" width="10" style="1" customWidth="1"/>
    <col min="728" max="728" width="12.88671875" style="1" customWidth="1"/>
    <col min="729" max="729" width="13.44140625" style="1" customWidth="1"/>
    <col min="730" max="972" width="10" style="1"/>
    <col min="973" max="973" width="6.109375" style="1" customWidth="1"/>
    <col min="974" max="974" width="12.6640625" style="1" customWidth="1"/>
    <col min="975" max="975" width="15.6640625" style="1" customWidth="1"/>
    <col min="976" max="976" width="17.6640625" style="1" customWidth="1"/>
    <col min="977" max="977" width="9.88671875" style="1" customWidth="1"/>
    <col min="978" max="978" width="7.109375" style="1" customWidth="1"/>
    <col min="979" max="979" width="8.88671875" style="1" customWidth="1"/>
    <col min="980" max="980" width="10.88671875" style="1" customWidth="1"/>
    <col min="981" max="981" width="8" style="1" customWidth="1"/>
    <col min="982" max="983" width="10" style="1" customWidth="1"/>
    <col min="984" max="984" width="12.88671875" style="1" customWidth="1"/>
    <col min="985" max="985" width="13.44140625" style="1" customWidth="1"/>
    <col min="986" max="1228" width="10" style="1"/>
    <col min="1229" max="1229" width="6.109375" style="1" customWidth="1"/>
    <col min="1230" max="1230" width="12.6640625" style="1" customWidth="1"/>
    <col min="1231" max="1231" width="15.6640625" style="1" customWidth="1"/>
    <col min="1232" max="1232" width="17.6640625" style="1" customWidth="1"/>
    <col min="1233" max="1233" width="9.88671875" style="1" customWidth="1"/>
    <col min="1234" max="1234" width="7.109375" style="1" customWidth="1"/>
    <col min="1235" max="1235" width="8.88671875" style="1" customWidth="1"/>
    <col min="1236" max="1236" width="10.88671875" style="1" customWidth="1"/>
    <col min="1237" max="1237" width="8" style="1" customWidth="1"/>
    <col min="1238" max="1239" width="10" style="1" customWidth="1"/>
    <col min="1240" max="1240" width="12.88671875" style="1" customWidth="1"/>
    <col min="1241" max="1241" width="13.44140625" style="1" customWidth="1"/>
    <col min="1242" max="1484" width="10" style="1"/>
    <col min="1485" max="1485" width="6.109375" style="1" customWidth="1"/>
    <col min="1486" max="1486" width="12.6640625" style="1" customWidth="1"/>
    <col min="1487" max="1487" width="15.6640625" style="1" customWidth="1"/>
    <col min="1488" max="1488" width="17.6640625" style="1" customWidth="1"/>
    <col min="1489" max="1489" width="9.88671875" style="1" customWidth="1"/>
    <col min="1490" max="1490" width="7.109375" style="1" customWidth="1"/>
    <col min="1491" max="1491" width="8.88671875" style="1" customWidth="1"/>
    <col min="1492" max="1492" width="10.88671875" style="1" customWidth="1"/>
    <col min="1493" max="1493" width="8" style="1" customWidth="1"/>
    <col min="1494" max="1495" width="10" style="1" customWidth="1"/>
    <col min="1496" max="1496" width="12.88671875" style="1" customWidth="1"/>
    <col min="1497" max="1497" width="13.44140625" style="1" customWidth="1"/>
    <col min="1498" max="1740" width="10" style="1"/>
    <col min="1741" max="1741" width="6.109375" style="1" customWidth="1"/>
    <col min="1742" max="1742" width="12.6640625" style="1" customWidth="1"/>
    <col min="1743" max="1743" width="15.6640625" style="1" customWidth="1"/>
    <col min="1744" max="1744" width="17.6640625" style="1" customWidth="1"/>
    <col min="1745" max="1745" width="9.88671875" style="1" customWidth="1"/>
    <col min="1746" max="1746" width="7.109375" style="1" customWidth="1"/>
    <col min="1747" max="1747" width="8.88671875" style="1" customWidth="1"/>
    <col min="1748" max="1748" width="10.88671875" style="1" customWidth="1"/>
    <col min="1749" max="1749" width="8" style="1" customWidth="1"/>
    <col min="1750" max="1751" width="10" style="1" customWidth="1"/>
    <col min="1752" max="1752" width="12.88671875" style="1" customWidth="1"/>
    <col min="1753" max="1753" width="13.44140625" style="1" customWidth="1"/>
    <col min="1754" max="1996" width="10" style="1"/>
    <col min="1997" max="1997" width="6.109375" style="1" customWidth="1"/>
    <col min="1998" max="1998" width="12.6640625" style="1" customWidth="1"/>
    <col min="1999" max="1999" width="15.6640625" style="1" customWidth="1"/>
    <col min="2000" max="2000" width="17.6640625" style="1" customWidth="1"/>
    <col min="2001" max="2001" width="9.88671875" style="1" customWidth="1"/>
    <col min="2002" max="2002" width="7.109375" style="1" customWidth="1"/>
    <col min="2003" max="2003" width="8.88671875" style="1" customWidth="1"/>
    <col min="2004" max="2004" width="10.88671875" style="1" customWidth="1"/>
    <col min="2005" max="2005" width="8" style="1" customWidth="1"/>
    <col min="2006" max="2007" width="10" style="1" customWidth="1"/>
    <col min="2008" max="2008" width="12.88671875" style="1" customWidth="1"/>
    <col min="2009" max="2009" width="13.44140625" style="1" customWidth="1"/>
    <col min="2010" max="2252" width="10" style="1"/>
    <col min="2253" max="2253" width="6.109375" style="1" customWidth="1"/>
    <col min="2254" max="2254" width="12.6640625" style="1" customWidth="1"/>
    <col min="2255" max="2255" width="15.6640625" style="1" customWidth="1"/>
    <col min="2256" max="2256" width="17.6640625" style="1" customWidth="1"/>
    <col min="2257" max="2257" width="9.88671875" style="1" customWidth="1"/>
    <col min="2258" max="2258" width="7.109375" style="1" customWidth="1"/>
    <col min="2259" max="2259" width="8.88671875" style="1" customWidth="1"/>
    <col min="2260" max="2260" width="10.88671875" style="1" customWidth="1"/>
    <col min="2261" max="2261" width="8" style="1" customWidth="1"/>
    <col min="2262" max="2263" width="10" style="1" customWidth="1"/>
    <col min="2264" max="2264" width="12.88671875" style="1" customWidth="1"/>
    <col min="2265" max="2265" width="13.44140625" style="1" customWidth="1"/>
    <col min="2266" max="2508" width="10" style="1"/>
    <col min="2509" max="2509" width="6.109375" style="1" customWidth="1"/>
    <col min="2510" max="2510" width="12.6640625" style="1" customWidth="1"/>
    <col min="2511" max="2511" width="15.6640625" style="1" customWidth="1"/>
    <col min="2512" max="2512" width="17.6640625" style="1" customWidth="1"/>
    <col min="2513" max="2513" width="9.88671875" style="1" customWidth="1"/>
    <col min="2514" max="2514" width="7.109375" style="1" customWidth="1"/>
    <col min="2515" max="2515" width="8.88671875" style="1" customWidth="1"/>
    <col min="2516" max="2516" width="10.88671875" style="1" customWidth="1"/>
    <col min="2517" max="2517" width="8" style="1" customWidth="1"/>
    <col min="2518" max="2519" width="10" style="1" customWidth="1"/>
    <col min="2520" max="2520" width="12.88671875" style="1" customWidth="1"/>
    <col min="2521" max="2521" width="13.44140625" style="1" customWidth="1"/>
    <col min="2522" max="2764" width="10" style="1"/>
    <col min="2765" max="2765" width="6.109375" style="1" customWidth="1"/>
    <col min="2766" max="2766" width="12.6640625" style="1" customWidth="1"/>
    <col min="2767" max="2767" width="15.6640625" style="1" customWidth="1"/>
    <col min="2768" max="2768" width="17.6640625" style="1" customWidth="1"/>
    <col min="2769" max="2769" width="9.88671875" style="1" customWidth="1"/>
    <col min="2770" max="2770" width="7.109375" style="1" customWidth="1"/>
    <col min="2771" max="2771" width="8.88671875" style="1" customWidth="1"/>
    <col min="2772" max="2772" width="10.88671875" style="1" customWidth="1"/>
    <col min="2773" max="2773" width="8" style="1" customWidth="1"/>
    <col min="2774" max="2775" width="10" style="1" customWidth="1"/>
    <col min="2776" max="2776" width="12.88671875" style="1" customWidth="1"/>
    <col min="2777" max="2777" width="13.44140625" style="1" customWidth="1"/>
    <col min="2778" max="3020" width="10" style="1"/>
    <col min="3021" max="3021" width="6.109375" style="1" customWidth="1"/>
    <col min="3022" max="3022" width="12.6640625" style="1" customWidth="1"/>
    <col min="3023" max="3023" width="15.6640625" style="1" customWidth="1"/>
    <col min="3024" max="3024" width="17.6640625" style="1" customWidth="1"/>
    <col min="3025" max="3025" width="9.88671875" style="1" customWidth="1"/>
    <col min="3026" max="3026" width="7.109375" style="1" customWidth="1"/>
    <col min="3027" max="3027" width="8.88671875" style="1" customWidth="1"/>
    <col min="3028" max="3028" width="10.88671875" style="1" customWidth="1"/>
    <col min="3029" max="3029" width="8" style="1" customWidth="1"/>
    <col min="3030" max="3031" width="10" style="1" customWidth="1"/>
    <col min="3032" max="3032" width="12.88671875" style="1" customWidth="1"/>
    <col min="3033" max="3033" width="13.44140625" style="1" customWidth="1"/>
    <col min="3034" max="3276" width="10" style="1"/>
    <col min="3277" max="3277" width="6.109375" style="1" customWidth="1"/>
    <col min="3278" max="3278" width="12.6640625" style="1" customWidth="1"/>
    <col min="3279" max="3279" width="15.6640625" style="1" customWidth="1"/>
    <col min="3280" max="3280" width="17.6640625" style="1" customWidth="1"/>
    <col min="3281" max="3281" width="9.88671875" style="1" customWidth="1"/>
    <col min="3282" max="3282" width="7.109375" style="1" customWidth="1"/>
    <col min="3283" max="3283" width="8.88671875" style="1" customWidth="1"/>
    <col min="3284" max="3284" width="10.88671875" style="1" customWidth="1"/>
    <col min="3285" max="3285" width="8" style="1" customWidth="1"/>
    <col min="3286" max="3287" width="10" style="1" customWidth="1"/>
    <col min="3288" max="3288" width="12.88671875" style="1" customWidth="1"/>
    <col min="3289" max="3289" width="13.44140625" style="1" customWidth="1"/>
    <col min="3290" max="3532" width="10" style="1"/>
    <col min="3533" max="3533" width="6.109375" style="1" customWidth="1"/>
    <col min="3534" max="3534" width="12.6640625" style="1" customWidth="1"/>
    <col min="3535" max="3535" width="15.6640625" style="1" customWidth="1"/>
    <col min="3536" max="3536" width="17.6640625" style="1" customWidth="1"/>
    <col min="3537" max="3537" width="9.88671875" style="1" customWidth="1"/>
    <col min="3538" max="3538" width="7.109375" style="1" customWidth="1"/>
    <col min="3539" max="3539" width="8.88671875" style="1" customWidth="1"/>
    <col min="3540" max="3540" width="10.88671875" style="1" customWidth="1"/>
    <col min="3541" max="3541" width="8" style="1" customWidth="1"/>
    <col min="3542" max="3543" width="10" style="1" customWidth="1"/>
    <col min="3544" max="3544" width="12.88671875" style="1" customWidth="1"/>
    <col min="3545" max="3545" width="13.44140625" style="1" customWidth="1"/>
    <col min="3546" max="3788" width="10" style="1"/>
    <col min="3789" max="3789" width="6.109375" style="1" customWidth="1"/>
    <col min="3790" max="3790" width="12.6640625" style="1" customWidth="1"/>
    <col min="3791" max="3791" width="15.6640625" style="1" customWidth="1"/>
    <col min="3792" max="3792" width="17.6640625" style="1" customWidth="1"/>
    <col min="3793" max="3793" width="9.88671875" style="1" customWidth="1"/>
    <col min="3794" max="3794" width="7.109375" style="1" customWidth="1"/>
    <col min="3795" max="3795" width="8.88671875" style="1" customWidth="1"/>
    <col min="3796" max="3796" width="10.88671875" style="1" customWidth="1"/>
    <col min="3797" max="3797" width="8" style="1" customWidth="1"/>
    <col min="3798" max="3799" width="10" style="1" customWidth="1"/>
    <col min="3800" max="3800" width="12.88671875" style="1" customWidth="1"/>
    <col min="3801" max="3801" width="13.44140625" style="1" customWidth="1"/>
    <col min="3802" max="4044" width="10" style="1"/>
    <col min="4045" max="4045" width="6.109375" style="1" customWidth="1"/>
    <col min="4046" max="4046" width="12.6640625" style="1" customWidth="1"/>
    <col min="4047" max="4047" width="15.6640625" style="1" customWidth="1"/>
    <col min="4048" max="4048" width="17.6640625" style="1" customWidth="1"/>
    <col min="4049" max="4049" width="9.88671875" style="1" customWidth="1"/>
    <col min="4050" max="4050" width="7.109375" style="1" customWidth="1"/>
    <col min="4051" max="4051" width="8.88671875" style="1" customWidth="1"/>
    <col min="4052" max="4052" width="10.88671875" style="1" customWidth="1"/>
    <col min="4053" max="4053" width="8" style="1" customWidth="1"/>
    <col min="4054" max="4055" width="10" style="1" customWidth="1"/>
    <col min="4056" max="4056" width="12.88671875" style="1" customWidth="1"/>
    <col min="4057" max="4057" width="13.44140625" style="1" customWidth="1"/>
    <col min="4058" max="4300" width="10" style="1"/>
    <col min="4301" max="4301" width="6.109375" style="1" customWidth="1"/>
    <col min="4302" max="4302" width="12.6640625" style="1" customWidth="1"/>
    <col min="4303" max="4303" width="15.6640625" style="1" customWidth="1"/>
    <col min="4304" max="4304" width="17.6640625" style="1" customWidth="1"/>
    <col min="4305" max="4305" width="9.88671875" style="1" customWidth="1"/>
    <col min="4306" max="4306" width="7.109375" style="1" customWidth="1"/>
    <col min="4307" max="4307" width="8.88671875" style="1" customWidth="1"/>
    <col min="4308" max="4308" width="10.88671875" style="1" customWidth="1"/>
    <col min="4309" max="4309" width="8" style="1" customWidth="1"/>
    <col min="4310" max="4311" width="10" style="1" customWidth="1"/>
    <col min="4312" max="4312" width="12.88671875" style="1" customWidth="1"/>
    <col min="4313" max="4313" width="13.44140625" style="1" customWidth="1"/>
    <col min="4314" max="4556" width="10" style="1"/>
    <col min="4557" max="4557" width="6.109375" style="1" customWidth="1"/>
    <col min="4558" max="4558" width="12.6640625" style="1" customWidth="1"/>
    <col min="4559" max="4559" width="15.6640625" style="1" customWidth="1"/>
    <col min="4560" max="4560" width="17.6640625" style="1" customWidth="1"/>
    <col min="4561" max="4561" width="9.88671875" style="1" customWidth="1"/>
    <col min="4562" max="4562" width="7.109375" style="1" customWidth="1"/>
    <col min="4563" max="4563" width="8.88671875" style="1" customWidth="1"/>
    <col min="4564" max="4564" width="10.88671875" style="1" customWidth="1"/>
    <col min="4565" max="4565" width="8" style="1" customWidth="1"/>
    <col min="4566" max="4567" width="10" style="1" customWidth="1"/>
    <col min="4568" max="4568" width="12.88671875" style="1" customWidth="1"/>
    <col min="4569" max="4569" width="13.44140625" style="1" customWidth="1"/>
    <col min="4570" max="4812" width="10" style="1"/>
    <col min="4813" max="4813" width="6.109375" style="1" customWidth="1"/>
    <col min="4814" max="4814" width="12.6640625" style="1" customWidth="1"/>
    <col min="4815" max="4815" width="15.6640625" style="1" customWidth="1"/>
    <col min="4816" max="4816" width="17.6640625" style="1" customWidth="1"/>
    <col min="4817" max="4817" width="9.88671875" style="1" customWidth="1"/>
    <col min="4818" max="4818" width="7.109375" style="1" customWidth="1"/>
    <col min="4819" max="4819" width="8.88671875" style="1" customWidth="1"/>
    <col min="4820" max="4820" width="10.88671875" style="1" customWidth="1"/>
    <col min="4821" max="4821" width="8" style="1" customWidth="1"/>
    <col min="4822" max="4823" width="10" style="1" customWidth="1"/>
    <col min="4824" max="4824" width="12.88671875" style="1" customWidth="1"/>
    <col min="4825" max="4825" width="13.44140625" style="1" customWidth="1"/>
    <col min="4826" max="5068" width="10" style="1"/>
    <col min="5069" max="5069" width="6.109375" style="1" customWidth="1"/>
    <col min="5070" max="5070" width="12.6640625" style="1" customWidth="1"/>
    <col min="5071" max="5071" width="15.6640625" style="1" customWidth="1"/>
    <col min="5072" max="5072" width="17.6640625" style="1" customWidth="1"/>
    <col min="5073" max="5073" width="9.88671875" style="1" customWidth="1"/>
    <col min="5074" max="5074" width="7.109375" style="1" customWidth="1"/>
    <col min="5075" max="5075" width="8.88671875" style="1" customWidth="1"/>
    <col min="5076" max="5076" width="10.88671875" style="1" customWidth="1"/>
    <col min="5077" max="5077" width="8" style="1" customWidth="1"/>
    <col min="5078" max="5079" width="10" style="1" customWidth="1"/>
    <col min="5080" max="5080" width="12.88671875" style="1" customWidth="1"/>
    <col min="5081" max="5081" width="13.44140625" style="1" customWidth="1"/>
    <col min="5082" max="5324" width="10" style="1"/>
    <col min="5325" max="5325" width="6.109375" style="1" customWidth="1"/>
    <col min="5326" max="5326" width="12.6640625" style="1" customWidth="1"/>
    <col min="5327" max="5327" width="15.6640625" style="1" customWidth="1"/>
    <col min="5328" max="5328" width="17.6640625" style="1" customWidth="1"/>
    <col min="5329" max="5329" width="9.88671875" style="1" customWidth="1"/>
    <col min="5330" max="5330" width="7.109375" style="1" customWidth="1"/>
    <col min="5331" max="5331" width="8.88671875" style="1" customWidth="1"/>
    <col min="5332" max="5332" width="10.88671875" style="1" customWidth="1"/>
    <col min="5333" max="5333" width="8" style="1" customWidth="1"/>
    <col min="5334" max="5335" width="10" style="1" customWidth="1"/>
    <col min="5336" max="5336" width="12.88671875" style="1" customWidth="1"/>
    <col min="5337" max="5337" width="13.44140625" style="1" customWidth="1"/>
    <col min="5338" max="5580" width="10" style="1"/>
    <col min="5581" max="5581" width="6.109375" style="1" customWidth="1"/>
    <col min="5582" max="5582" width="12.6640625" style="1" customWidth="1"/>
    <col min="5583" max="5583" width="15.6640625" style="1" customWidth="1"/>
    <col min="5584" max="5584" width="17.6640625" style="1" customWidth="1"/>
    <col min="5585" max="5585" width="9.88671875" style="1" customWidth="1"/>
    <col min="5586" max="5586" width="7.109375" style="1" customWidth="1"/>
    <col min="5587" max="5587" width="8.88671875" style="1" customWidth="1"/>
    <col min="5588" max="5588" width="10.88671875" style="1" customWidth="1"/>
    <col min="5589" max="5589" width="8" style="1" customWidth="1"/>
    <col min="5590" max="5591" width="10" style="1" customWidth="1"/>
    <col min="5592" max="5592" width="12.88671875" style="1" customWidth="1"/>
    <col min="5593" max="5593" width="13.44140625" style="1" customWidth="1"/>
    <col min="5594" max="5836" width="10" style="1"/>
    <col min="5837" max="5837" width="6.109375" style="1" customWidth="1"/>
    <col min="5838" max="5838" width="12.6640625" style="1" customWidth="1"/>
    <col min="5839" max="5839" width="15.6640625" style="1" customWidth="1"/>
    <col min="5840" max="5840" width="17.6640625" style="1" customWidth="1"/>
    <col min="5841" max="5841" width="9.88671875" style="1" customWidth="1"/>
    <col min="5842" max="5842" width="7.109375" style="1" customWidth="1"/>
    <col min="5843" max="5843" width="8.88671875" style="1" customWidth="1"/>
    <col min="5844" max="5844" width="10.88671875" style="1" customWidth="1"/>
    <col min="5845" max="5845" width="8" style="1" customWidth="1"/>
    <col min="5846" max="5847" width="10" style="1" customWidth="1"/>
    <col min="5848" max="5848" width="12.88671875" style="1" customWidth="1"/>
    <col min="5849" max="5849" width="13.44140625" style="1" customWidth="1"/>
    <col min="5850" max="6092" width="10" style="1"/>
    <col min="6093" max="6093" width="6.109375" style="1" customWidth="1"/>
    <col min="6094" max="6094" width="12.6640625" style="1" customWidth="1"/>
    <col min="6095" max="6095" width="15.6640625" style="1" customWidth="1"/>
    <col min="6096" max="6096" width="17.6640625" style="1" customWidth="1"/>
    <col min="6097" max="6097" width="9.88671875" style="1" customWidth="1"/>
    <col min="6098" max="6098" width="7.109375" style="1" customWidth="1"/>
    <col min="6099" max="6099" width="8.88671875" style="1" customWidth="1"/>
    <col min="6100" max="6100" width="10.88671875" style="1" customWidth="1"/>
    <col min="6101" max="6101" width="8" style="1" customWidth="1"/>
    <col min="6102" max="6103" width="10" style="1" customWidth="1"/>
    <col min="6104" max="6104" width="12.88671875" style="1" customWidth="1"/>
    <col min="6105" max="6105" width="13.44140625" style="1" customWidth="1"/>
    <col min="6106" max="6348" width="10" style="1"/>
    <col min="6349" max="6349" width="6.109375" style="1" customWidth="1"/>
    <col min="6350" max="6350" width="12.6640625" style="1" customWidth="1"/>
    <col min="6351" max="6351" width="15.6640625" style="1" customWidth="1"/>
    <col min="6352" max="6352" width="17.6640625" style="1" customWidth="1"/>
    <col min="6353" max="6353" width="9.88671875" style="1" customWidth="1"/>
    <col min="6354" max="6354" width="7.109375" style="1" customWidth="1"/>
    <col min="6355" max="6355" width="8.88671875" style="1" customWidth="1"/>
    <col min="6356" max="6356" width="10.88671875" style="1" customWidth="1"/>
    <col min="6357" max="6357" width="8" style="1" customWidth="1"/>
    <col min="6358" max="6359" width="10" style="1" customWidth="1"/>
    <col min="6360" max="6360" width="12.88671875" style="1" customWidth="1"/>
    <col min="6361" max="6361" width="13.44140625" style="1" customWidth="1"/>
    <col min="6362" max="6604" width="10" style="1"/>
    <col min="6605" max="6605" width="6.109375" style="1" customWidth="1"/>
    <col min="6606" max="6606" width="12.6640625" style="1" customWidth="1"/>
    <col min="6607" max="6607" width="15.6640625" style="1" customWidth="1"/>
    <col min="6608" max="6608" width="17.6640625" style="1" customWidth="1"/>
    <col min="6609" max="6609" width="9.88671875" style="1" customWidth="1"/>
    <col min="6610" max="6610" width="7.109375" style="1" customWidth="1"/>
    <col min="6611" max="6611" width="8.88671875" style="1" customWidth="1"/>
    <col min="6612" max="6612" width="10.88671875" style="1" customWidth="1"/>
    <col min="6613" max="6613" width="8" style="1" customWidth="1"/>
    <col min="6614" max="6615" width="10" style="1" customWidth="1"/>
    <col min="6616" max="6616" width="12.88671875" style="1" customWidth="1"/>
    <col min="6617" max="6617" width="13.44140625" style="1" customWidth="1"/>
    <col min="6618" max="6860" width="10" style="1"/>
    <col min="6861" max="6861" width="6.109375" style="1" customWidth="1"/>
    <col min="6862" max="6862" width="12.6640625" style="1" customWidth="1"/>
    <col min="6863" max="6863" width="15.6640625" style="1" customWidth="1"/>
    <col min="6864" max="6864" width="17.6640625" style="1" customWidth="1"/>
    <col min="6865" max="6865" width="9.88671875" style="1" customWidth="1"/>
    <col min="6866" max="6866" width="7.109375" style="1" customWidth="1"/>
    <col min="6867" max="6867" width="8.88671875" style="1" customWidth="1"/>
    <col min="6868" max="6868" width="10.88671875" style="1" customWidth="1"/>
    <col min="6869" max="6869" width="8" style="1" customWidth="1"/>
    <col min="6870" max="6871" width="10" style="1" customWidth="1"/>
    <col min="6872" max="6872" width="12.88671875" style="1" customWidth="1"/>
    <col min="6873" max="6873" width="13.44140625" style="1" customWidth="1"/>
    <col min="6874" max="7116" width="10" style="1"/>
    <col min="7117" max="7117" width="6.109375" style="1" customWidth="1"/>
    <col min="7118" max="7118" width="12.6640625" style="1" customWidth="1"/>
    <col min="7119" max="7119" width="15.6640625" style="1" customWidth="1"/>
    <col min="7120" max="7120" width="17.6640625" style="1" customWidth="1"/>
    <col min="7121" max="7121" width="9.88671875" style="1" customWidth="1"/>
    <col min="7122" max="7122" width="7.109375" style="1" customWidth="1"/>
    <col min="7123" max="7123" width="8.88671875" style="1" customWidth="1"/>
    <col min="7124" max="7124" width="10.88671875" style="1" customWidth="1"/>
    <col min="7125" max="7125" width="8" style="1" customWidth="1"/>
    <col min="7126" max="7127" width="10" style="1" customWidth="1"/>
    <col min="7128" max="7128" width="12.88671875" style="1" customWidth="1"/>
    <col min="7129" max="7129" width="13.44140625" style="1" customWidth="1"/>
    <col min="7130" max="7372" width="10" style="1"/>
    <col min="7373" max="7373" width="6.109375" style="1" customWidth="1"/>
    <col min="7374" max="7374" width="12.6640625" style="1" customWidth="1"/>
    <col min="7375" max="7375" width="15.6640625" style="1" customWidth="1"/>
    <col min="7376" max="7376" width="17.6640625" style="1" customWidth="1"/>
    <col min="7377" max="7377" width="9.88671875" style="1" customWidth="1"/>
    <col min="7378" max="7378" width="7.109375" style="1" customWidth="1"/>
    <col min="7379" max="7379" width="8.88671875" style="1" customWidth="1"/>
    <col min="7380" max="7380" width="10.88671875" style="1" customWidth="1"/>
    <col min="7381" max="7381" width="8" style="1" customWidth="1"/>
    <col min="7382" max="7383" width="10" style="1" customWidth="1"/>
    <col min="7384" max="7384" width="12.88671875" style="1" customWidth="1"/>
    <col min="7385" max="7385" width="13.44140625" style="1" customWidth="1"/>
    <col min="7386" max="7628" width="10" style="1"/>
    <col min="7629" max="7629" width="6.109375" style="1" customWidth="1"/>
    <col min="7630" max="7630" width="12.6640625" style="1" customWidth="1"/>
    <col min="7631" max="7631" width="15.6640625" style="1" customWidth="1"/>
    <col min="7632" max="7632" width="17.6640625" style="1" customWidth="1"/>
    <col min="7633" max="7633" width="9.88671875" style="1" customWidth="1"/>
    <col min="7634" max="7634" width="7.109375" style="1" customWidth="1"/>
    <col min="7635" max="7635" width="8.88671875" style="1" customWidth="1"/>
    <col min="7636" max="7636" width="10.88671875" style="1" customWidth="1"/>
    <col min="7637" max="7637" width="8" style="1" customWidth="1"/>
    <col min="7638" max="7639" width="10" style="1" customWidth="1"/>
    <col min="7640" max="7640" width="12.88671875" style="1" customWidth="1"/>
    <col min="7641" max="7641" width="13.44140625" style="1" customWidth="1"/>
    <col min="7642" max="7884" width="10" style="1"/>
    <col min="7885" max="7885" width="6.109375" style="1" customWidth="1"/>
    <col min="7886" max="7886" width="12.6640625" style="1" customWidth="1"/>
    <col min="7887" max="7887" width="15.6640625" style="1" customWidth="1"/>
    <col min="7888" max="7888" width="17.6640625" style="1" customWidth="1"/>
    <col min="7889" max="7889" width="9.88671875" style="1" customWidth="1"/>
    <col min="7890" max="7890" width="7.109375" style="1" customWidth="1"/>
    <col min="7891" max="7891" width="8.88671875" style="1" customWidth="1"/>
    <col min="7892" max="7892" width="10.88671875" style="1" customWidth="1"/>
    <col min="7893" max="7893" width="8" style="1" customWidth="1"/>
    <col min="7894" max="7895" width="10" style="1" customWidth="1"/>
    <col min="7896" max="7896" width="12.88671875" style="1" customWidth="1"/>
    <col min="7897" max="7897" width="13.44140625" style="1" customWidth="1"/>
    <col min="7898" max="8140" width="10" style="1"/>
    <col min="8141" max="8141" width="6.109375" style="1" customWidth="1"/>
    <col min="8142" max="8142" width="12.6640625" style="1" customWidth="1"/>
    <col min="8143" max="8143" width="15.6640625" style="1" customWidth="1"/>
    <col min="8144" max="8144" width="17.6640625" style="1" customWidth="1"/>
    <col min="8145" max="8145" width="9.88671875" style="1" customWidth="1"/>
    <col min="8146" max="8146" width="7.109375" style="1" customWidth="1"/>
    <col min="8147" max="8147" width="8.88671875" style="1" customWidth="1"/>
    <col min="8148" max="8148" width="10.88671875" style="1" customWidth="1"/>
    <col min="8149" max="8149" width="8" style="1" customWidth="1"/>
    <col min="8150" max="8151" width="10" style="1" customWidth="1"/>
    <col min="8152" max="8152" width="12.88671875" style="1" customWidth="1"/>
    <col min="8153" max="8153" width="13.44140625" style="1" customWidth="1"/>
    <col min="8154" max="8396" width="10" style="1"/>
    <col min="8397" max="8397" width="6.109375" style="1" customWidth="1"/>
    <col min="8398" max="8398" width="12.6640625" style="1" customWidth="1"/>
    <col min="8399" max="8399" width="15.6640625" style="1" customWidth="1"/>
    <col min="8400" max="8400" width="17.6640625" style="1" customWidth="1"/>
    <col min="8401" max="8401" width="9.88671875" style="1" customWidth="1"/>
    <col min="8402" max="8402" width="7.109375" style="1" customWidth="1"/>
    <col min="8403" max="8403" width="8.88671875" style="1" customWidth="1"/>
    <col min="8404" max="8404" width="10.88671875" style="1" customWidth="1"/>
    <col min="8405" max="8405" width="8" style="1" customWidth="1"/>
    <col min="8406" max="8407" width="10" style="1" customWidth="1"/>
    <col min="8408" max="8408" width="12.88671875" style="1" customWidth="1"/>
    <col min="8409" max="8409" width="13.44140625" style="1" customWidth="1"/>
    <col min="8410" max="8652" width="10" style="1"/>
    <col min="8653" max="8653" width="6.109375" style="1" customWidth="1"/>
    <col min="8654" max="8654" width="12.6640625" style="1" customWidth="1"/>
    <col min="8655" max="8655" width="15.6640625" style="1" customWidth="1"/>
    <col min="8656" max="8656" width="17.6640625" style="1" customWidth="1"/>
    <col min="8657" max="8657" width="9.88671875" style="1" customWidth="1"/>
    <col min="8658" max="8658" width="7.109375" style="1" customWidth="1"/>
    <col min="8659" max="8659" width="8.88671875" style="1" customWidth="1"/>
    <col min="8660" max="8660" width="10.88671875" style="1" customWidth="1"/>
    <col min="8661" max="8661" width="8" style="1" customWidth="1"/>
    <col min="8662" max="8663" width="10" style="1" customWidth="1"/>
    <col min="8664" max="8664" width="12.88671875" style="1" customWidth="1"/>
    <col min="8665" max="8665" width="13.44140625" style="1" customWidth="1"/>
    <col min="8666" max="8908" width="10" style="1"/>
    <col min="8909" max="8909" width="6.109375" style="1" customWidth="1"/>
    <col min="8910" max="8910" width="12.6640625" style="1" customWidth="1"/>
    <col min="8911" max="8911" width="15.6640625" style="1" customWidth="1"/>
    <col min="8912" max="8912" width="17.6640625" style="1" customWidth="1"/>
    <col min="8913" max="8913" width="9.88671875" style="1" customWidth="1"/>
    <col min="8914" max="8914" width="7.109375" style="1" customWidth="1"/>
    <col min="8915" max="8915" width="8.88671875" style="1" customWidth="1"/>
    <col min="8916" max="8916" width="10.88671875" style="1" customWidth="1"/>
    <col min="8917" max="8917" width="8" style="1" customWidth="1"/>
    <col min="8918" max="8919" width="10" style="1" customWidth="1"/>
    <col min="8920" max="8920" width="12.88671875" style="1" customWidth="1"/>
    <col min="8921" max="8921" width="13.44140625" style="1" customWidth="1"/>
    <col min="8922" max="9164" width="10" style="1"/>
    <col min="9165" max="9165" width="6.109375" style="1" customWidth="1"/>
    <col min="9166" max="9166" width="12.6640625" style="1" customWidth="1"/>
    <col min="9167" max="9167" width="15.6640625" style="1" customWidth="1"/>
    <col min="9168" max="9168" width="17.6640625" style="1" customWidth="1"/>
    <col min="9169" max="9169" width="9.88671875" style="1" customWidth="1"/>
    <col min="9170" max="9170" width="7.109375" style="1" customWidth="1"/>
    <col min="9171" max="9171" width="8.88671875" style="1" customWidth="1"/>
    <col min="9172" max="9172" width="10.88671875" style="1" customWidth="1"/>
    <col min="9173" max="9173" width="8" style="1" customWidth="1"/>
    <col min="9174" max="9175" width="10" style="1" customWidth="1"/>
    <col min="9176" max="9176" width="12.88671875" style="1" customWidth="1"/>
    <col min="9177" max="9177" width="13.44140625" style="1" customWidth="1"/>
    <col min="9178" max="9420" width="10" style="1"/>
    <col min="9421" max="9421" width="6.109375" style="1" customWidth="1"/>
    <col min="9422" max="9422" width="12.6640625" style="1" customWidth="1"/>
    <col min="9423" max="9423" width="15.6640625" style="1" customWidth="1"/>
    <col min="9424" max="9424" width="17.6640625" style="1" customWidth="1"/>
    <col min="9425" max="9425" width="9.88671875" style="1" customWidth="1"/>
    <col min="9426" max="9426" width="7.109375" style="1" customWidth="1"/>
    <col min="9427" max="9427" width="8.88671875" style="1" customWidth="1"/>
    <col min="9428" max="9428" width="10.88671875" style="1" customWidth="1"/>
    <col min="9429" max="9429" width="8" style="1" customWidth="1"/>
    <col min="9430" max="9431" width="10" style="1" customWidth="1"/>
    <col min="9432" max="9432" width="12.88671875" style="1" customWidth="1"/>
    <col min="9433" max="9433" width="13.44140625" style="1" customWidth="1"/>
    <col min="9434" max="9676" width="10" style="1"/>
    <col min="9677" max="9677" width="6.109375" style="1" customWidth="1"/>
    <col min="9678" max="9678" width="12.6640625" style="1" customWidth="1"/>
    <col min="9679" max="9679" width="15.6640625" style="1" customWidth="1"/>
    <col min="9680" max="9680" width="17.6640625" style="1" customWidth="1"/>
    <col min="9681" max="9681" width="9.88671875" style="1" customWidth="1"/>
    <col min="9682" max="9682" width="7.109375" style="1" customWidth="1"/>
    <col min="9683" max="9683" width="8.88671875" style="1" customWidth="1"/>
    <col min="9684" max="9684" width="10.88671875" style="1" customWidth="1"/>
    <col min="9685" max="9685" width="8" style="1" customWidth="1"/>
    <col min="9686" max="9687" width="10" style="1" customWidth="1"/>
    <col min="9688" max="9688" width="12.88671875" style="1" customWidth="1"/>
    <col min="9689" max="9689" width="13.44140625" style="1" customWidth="1"/>
    <col min="9690" max="9932" width="10" style="1"/>
    <col min="9933" max="9933" width="6.109375" style="1" customWidth="1"/>
    <col min="9934" max="9934" width="12.6640625" style="1" customWidth="1"/>
    <col min="9935" max="9935" width="15.6640625" style="1" customWidth="1"/>
    <col min="9936" max="9936" width="17.6640625" style="1" customWidth="1"/>
    <col min="9937" max="9937" width="9.88671875" style="1" customWidth="1"/>
    <col min="9938" max="9938" width="7.109375" style="1" customWidth="1"/>
    <col min="9939" max="9939" width="8.88671875" style="1" customWidth="1"/>
    <col min="9940" max="9940" width="10.88671875" style="1" customWidth="1"/>
    <col min="9941" max="9941" width="8" style="1" customWidth="1"/>
    <col min="9942" max="9943" width="10" style="1" customWidth="1"/>
    <col min="9944" max="9944" width="12.88671875" style="1" customWidth="1"/>
    <col min="9945" max="9945" width="13.44140625" style="1" customWidth="1"/>
    <col min="9946" max="10188" width="10" style="1"/>
    <col min="10189" max="10189" width="6.109375" style="1" customWidth="1"/>
    <col min="10190" max="10190" width="12.6640625" style="1" customWidth="1"/>
    <col min="10191" max="10191" width="15.6640625" style="1" customWidth="1"/>
    <col min="10192" max="10192" width="17.6640625" style="1" customWidth="1"/>
    <col min="10193" max="10193" width="9.88671875" style="1" customWidth="1"/>
    <col min="10194" max="10194" width="7.109375" style="1" customWidth="1"/>
    <col min="10195" max="10195" width="8.88671875" style="1" customWidth="1"/>
    <col min="10196" max="10196" width="10.88671875" style="1" customWidth="1"/>
    <col min="10197" max="10197" width="8" style="1" customWidth="1"/>
    <col min="10198" max="10199" width="10" style="1" customWidth="1"/>
    <col min="10200" max="10200" width="12.88671875" style="1" customWidth="1"/>
    <col min="10201" max="10201" width="13.44140625" style="1" customWidth="1"/>
    <col min="10202" max="10444" width="10" style="1"/>
    <col min="10445" max="10445" width="6.109375" style="1" customWidth="1"/>
    <col min="10446" max="10446" width="12.6640625" style="1" customWidth="1"/>
    <col min="10447" max="10447" width="15.6640625" style="1" customWidth="1"/>
    <col min="10448" max="10448" width="17.6640625" style="1" customWidth="1"/>
    <col min="10449" max="10449" width="9.88671875" style="1" customWidth="1"/>
    <col min="10450" max="10450" width="7.109375" style="1" customWidth="1"/>
    <col min="10451" max="10451" width="8.88671875" style="1" customWidth="1"/>
    <col min="10452" max="10452" width="10.88671875" style="1" customWidth="1"/>
    <col min="10453" max="10453" width="8" style="1" customWidth="1"/>
    <col min="10454" max="10455" width="10" style="1" customWidth="1"/>
    <col min="10456" max="10456" width="12.88671875" style="1" customWidth="1"/>
    <col min="10457" max="10457" width="13.44140625" style="1" customWidth="1"/>
    <col min="10458" max="10700" width="10" style="1"/>
    <col min="10701" max="10701" width="6.109375" style="1" customWidth="1"/>
    <col min="10702" max="10702" width="12.6640625" style="1" customWidth="1"/>
    <col min="10703" max="10703" width="15.6640625" style="1" customWidth="1"/>
    <col min="10704" max="10704" width="17.6640625" style="1" customWidth="1"/>
    <col min="10705" max="10705" width="9.88671875" style="1" customWidth="1"/>
    <col min="10706" max="10706" width="7.109375" style="1" customWidth="1"/>
    <col min="10707" max="10707" width="8.88671875" style="1" customWidth="1"/>
    <col min="10708" max="10708" width="10.88671875" style="1" customWidth="1"/>
    <col min="10709" max="10709" width="8" style="1" customWidth="1"/>
    <col min="10710" max="10711" width="10" style="1" customWidth="1"/>
    <col min="10712" max="10712" width="12.88671875" style="1" customWidth="1"/>
    <col min="10713" max="10713" width="13.44140625" style="1" customWidth="1"/>
    <col min="10714" max="10956" width="10" style="1"/>
    <col min="10957" max="10957" width="6.109375" style="1" customWidth="1"/>
    <col min="10958" max="10958" width="12.6640625" style="1" customWidth="1"/>
    <col min="10959" max="10959" width="15.6640625" style="1" customWidth="1"/>
    <col min="10960" max="10960" width="17.6640625" style="1" customWidth="1"/>
    <col min="10961" max="10961" width="9.88671875" style="1" customWidth="1"/>
    <col min="10962" max="10962" width="7.109375" style="1" customWidth="1"/>
    <col min="10963" max="10963" width="8.88671875" style="1" customWidth="1"/>
    <col min="10964" max="10964" width="10.88671875" style="1" customWidth="1"/>
    <col min="10965" max="10965" width="8" style="1" customWidth="1"/>
    <col min="10966" max="10967" width="10" style="1" customWidth="1"/>
    <col min="10968" max="10968" width="12.88671875" style="1" customWidth="1"/>
    <col min="10969" max="10969" width="13.44140625" style="1" customWidth="1"/>
    <col min="10970" max="11212" width="10" style="1"/>
    <col min="11213" max="11213" width="6.109375" style="1" customWidth="1"/>
    <col min="11214" max="11214" width="12.6640625" style="1" customWidth="1"/>
    <col min="11215" max="11215" width="15.6640625" style="1" customWidth="1"/>
    <col min="11216" max="11216" width="17.6640625" style="1" customWidth="1"/>
    <col min="11217" max="11217" width="9.88671875" style="1" customWidth="1"/>
    <col min="11218" max="11218" width="7.109375" style="1" customWidth="1"/>
    <col min="11219" max="11219" width="8.88671875" style="1" customWidth="1"/>
    <col min="11220" max="11220" width="10.88671875" style="1" customWidth="1"/>
    <col min="11221" max="11221" width="8" style="1" customWidth="1"/>
    <col min="11222" max="11223" width="10" style="1" customWidth="1"/>
    <col min="11224" max="11224" width="12.88671875" style="1" customWidth="1"/>
    <col min="11225" max="11225" width="13.44140625" style="1" customWidth="1"/>
    <col min="11226" max="11468" width="10" style="1"/>
    <col min="11469" max="11469" width="6.109375" style="1" customWidth="1"/>
    <col min="11470" max="11470" width="12.6640625" style="1" customWidth="1"/>
    <col min="11471" max="11471" width="15.6640625" style="1" customWidth="1"/>
    <col min="11472" max="11472" width="17.6640625" style="1" customWidth="1"/>
    <col min="11473" max="11473" width="9.88671875" style="1" customWidth="1"/>
    <col min="11474" max="11474" width="7.109375" style="1" customWidth="1"/>
    <col min="11475" max="11475" width="8.88671875" style="1" customWidth="1"/>
    <col min="11476" max="11476" width="10.88671875" style="1" customWidth="1"/>
    <col min="11477" max="11477" width="8" style="1" customWidth="1"/>
    <col min="11478" max="11479" width="10" style="1" customWidth="1"/>
    <col min="11480" max="11480" width="12.88671875" style="1" customWidth="1"/>
    <col min="11481" max="11481" width="13.44140625" style="1" customWidth="1"/>
    <col min="11482" max="11724" width="10" style="1"/>
    <col min="11725" max="11725" width="6.109375" style="1" customWidth="1"/>
    <col min="11726" max="11726" width="12.6640625" style="1" customWidth="1"/>
    <col min="11727" max="11727" width="15.6640625" style="1" customWidth="1"/>
    <col min="11728" max="11728" width="17.6640625" style="1" customWidth="1"/>
    <col min="11729" max="11729" width="9.88671875" style="1" customWidth="1"/>
    <col min="11730" max="11730" width="7.109375" style="1" customWidth="1"/>
    <col min="11731" max="11731" width="8.88671875" style="1" customWidth="1"/>
    <col min="11732" max="11732" width="10.88671875" style="1" customWidth="1"/>
    <col min="11733" max="11733" width="8" style="1" customWidth="1"/>
    <col min="11734" max="11735" width="10" style="1" customWidth="1"/>
    <col min="11736" max="11736" width="12.88671875" style="1" customWidth="1"/>
    <col min="11737" max="11737" width="13.44140625" style="1" customWidth="1"/>
    <col min="11738" max="11980" width="10" style="1"/>
    <col min="11981" max="11981" width="6.109375" style="1" customWidth="1"/>
    <col min="11982" max="11982" width="12.6640625" style="1" customWidth="1"/>
    <col min="11983" max="11983" width="15.6640625" style="1" customWidth="1"/>
    <col min="11984" max="11984" width="17.6640625" style="1" customWidth="1"/>
    <col min="11985" max="11985" width="9.88671875" style="1" customWidth="1"/>
    <col min="11986" max="11986" width="7.109375" style="1" customWidth="1"/>
    <col min="11987" max="11987" width="8.88671875" style="1" customWidth="1"/>
    <col min="11988" max="11988" width="10.88671875" style="1" customWidth="1"/>
    <col min="11989" max="11989" width="8" style="1" customWidth="1"/>
    <col min="11990" max="11991" width="10" style="1" customWidth="1"/>
    <col min="11992" max="11992" width="12.88671875" style="1" customWidth="1"/>
    <col min="11993" max="11993" width="13.44140625" style="1" customWidth="1"/>
    <col min="11994" max="12236" width="10" style="1"/>
    <col min="12237" max="12237" width="6.109375" style="1" customWidth="1"/>
    <col min="12238" max="12238" width="12.6640625" style="1" customWidth="1"/>
    <col min="12239" max="12239" width="15.6640625" style="1" customWidth="1"/>
    <col min="12240" max="12240" width="17.6640625" style="1" customWidth="1"/>
    <col min="12241" max="12241" width="9.88671875" style="1" customWidth="1"/>
    <col min="12242" max="12242" width="7.109375" style="1" customWidth="1"/>
    <col min="12243" max="12243" width="8.88671875" style="1" customWidth="1"/>
    <col min="12244" max="12244" width="10.88671875" style="1" customWidth="1"/>
    <col min="12245" max="12245" width="8" style="1" customWidth="1"/>
    <col min="12246" max="12247" width="10" style="1" customWidth="1"/>
    <col min="12248" max="12248" width="12.88671875" style="1" customWidth="1"/>
    <col min="12249" max="12249" width="13.44140625" style="1" customWidth="1"/>
    <col min="12250" max="12492" width="10" style="1"/>
    <col min="12493" max="12493" width="6.109375" style="1" customWidth="1"/>
    <col min="12494" max="12494" width="12.6640625" style="1" customWidth="1"/>
    <col min="12495" max="12495" width="15.6640625" style="1" customWidth="1"/>
    <col min="12496" max="12496" width="17.6640625" style="1" customWidth="1"/>
    <col min="12497" max="12497" width="9.88671875" style="1" customWidth="1"/>
    <col min="12498" max="12498" width="7.109375" style="1" customWidth="1"/>
    <col min="12499" max="12499" width="8.88671875" style="1" customWidth="1"/>
    <col min="12500" max="12500" width="10.88671875" style="1" customWidth="1"/>
    <col min="12501" max="12501" width="8" style="1" customWidth="1"/>
    <col min="12502" max="12503" width="10" style="1" customWidth="1"/>
    <col min="12504" max="12504" width="12.88671875" style="1" customWidth="1"/>
    <col min="12505" max="12505" width="13.44140625" style="1" customWidth="1"/>
    <col min="12506" max="12748" width="10" style="1"/>
    <col min="12749" max="12749" width="6.109375" style="1" customWidth="1"/>
    <col min="12750" max="12750" width="12.6640625" style="1" customWidth="1"/>
    <col min="12751" max="12751" width="15.6640625" style="1" customWidth="1"/>
    <col min="12752" max="12752" width="17.6640625" style="1" customWidth="1"/>
    <col min="12753" max="12753" width="9.88671875" style="1" customWidth="1"/>
    <col min="12754" max="12754" width="7.109375" style="1" customWidth="1"/>
    <col min="12755" max="12755" width="8.88671875" style="1" customWidth="1"/>
    <col min="12756" max="12756" width="10.88671875" style="1" customWidth="1"/>
    <col min="12757" max="12757" width="8" style="1" customWidth="1"/>
    <col min="12758" max="12759" width="10" style="1" customWidth="1"/>
    <col min="12760" max="12760" width="12.88671875" style="1" customWidth="1"/>
    <col min="12761" max="12761" width="13.44140625" style="1" customWidth="1"/>
    <col min="12762" max="13004" width="10" style="1"/>
    <col min="13005" max="13005" width="6.109375" style="1" customWidth="1"/>
    <col min="13006" max="13006" width="12.6640625" style="1" customWidth="1"/>
    <col min="13007" max="13007" width="15.6640625" style="1" customWidth="1"/>
    <col min="13008" max="13008" width="17.6640625" style="1" customWidth="1"/>
    <col min="13009" max="13009" width="9.88671875" style="1" customWidth="1"/>
    <col min="13010" max="13010" width="7.109375" style="1" customWidth="1"/>
    <col min="13011" max="13011" width="8.88671875" style="1" customWidth="1"/>
    <col min="13012" max="13012" width="10.88671875" style="1" customWidth="1"/>
    <col min="13013" max="13013" width="8" style="1" customWidth="1"/>
    <col min="13014" max="13015" width="10" style="1" customWidth="1"/>
    <col min="13016" max="13016" width="12.88671875" style="1" customWidth="1"/>
    <col min="13017" max="13017" width="13.44140625" style="1" customWidth="1"/>
    <col min="13018" max="13260" width="10" style="1"/>
    <col min="13261" max="13261" width="6.109375" style="1" customWidth="1"/>
    <col min="13262" max="13262" width="12.6640625" style="1" customWidth="1"/>
    <col min="13263" max="13263" width="15.6640625" style="1" customWidth="1"/>
    <col min="13264" max="13264" width="17.6640625" style="1" customWidth="1"/>
    <col min="13265" max="13265" width="9.88671875" style="1" customWidth="1"/>
    <col min="13266" max="13266" width="7.109375" style="1" customWidth="1"/>
    <col min="13267" max="13267" width="8.88671875" style="1" customWidth="1"/>
    <col min="13268" max="13268" width="10.88671875" style="1" customWidth="1"/>
    <col min="13269" max="13269" width="8" style="1" customWidth="1"/>
    <col min="13270" max="13271" width="10" style="1" customWidth="1"/>
    <col min="13272" max="13272" width="12.88671875" style="1" customWidth="1"/>
    <col min="13273" max="13273" width="13.44140625" style="1" customWidth="1"/>
    <col min="13274" max="13516" width="10" style="1"/>
    <col min="13517" max="13517" width="6.109375" style="1" customWidth="1"/>
    <col min="13518" max="13518" width="12.6640625" style="1" customWidth="1"/>
    <col min="13519" max="13519" width="15.6640625" style="1" customWidth="1"/>
    <col min="13520" max="13520" width="17.6640625" style="1" customWidth="1"/>
    <col min="13521" max="13521" width="9.88671875" style="1" customWidth="1"/>
    <col min="13522" max="13522" width="7.109375" style="1" customWidth="1"/>
    <col min="13523" max="13523" width="8.88671875" style="1" customWidth="1"/>
    <col min="13524" max="13524" width="10.88671875" style="1" customWidth="1"/>
    <col min="13525" max="13525" width="8" style="1" customWidth="1"/>
    <col min="13526" max="13527" width="10" style="1" customWidth="1"/>
    <col min="13528" max="13528" width="12.88671875" style="1" customWidth="1"/>
    <col min="13529" max="13529" width="13.44140625" style="1" customWidth="1"/>
    <col min="13530" max="13772" width="10" style="1"/>
    <col min="13773" max="13773" width="6.109375" style="1" customWidth="1"/>
    <col min="13774" max="13774" width="12.6640625" style="1" customWidth="1"/>
    <col min="13775" max="13775" width="15.6640625" style="1" customWidth="1"/>
    <col min="13776" max="13776" width="17.6640625" style="1" customWidth="1"/>
    <col min="13777" max="13777" width="9.88671875" style="1" customWidth="1"/>
    <col min="13778" max="13778" width="7.109375" style="1" customWidth="1"/>
    <col min="13779" max="13779" width="8.88671875" style="1" customWidth="1"/>
    <col min="13780" max="13780" width="10.88671875" style="1" customWidth="1"/>
    <col min="13781" max="13781" width="8" style="1" customWidth="1"/>
    <col min="13782" max="13783" width="10" style="1" customWidth="1"/>
    <col min="13784" max="13784" width="12.88671875" style="1" customWidth="1"/>
    <col min="13785" max="13785" width="13.44140625" style="1" customWidth="1"/>
    <col min="13786" max="14028" width="10" style="1"/>
    <col min="14029" max="14029" width="6.109375" style="1" customWidth="1"/>
    <col min="14030" max="14030" width="12.6640625" style="1" customWidth="1"/>
    <col min="14031" max="14031" width="15.6640625" style="1" customWidth="1"/>
    <col min="14032" max="14032" width="17.6640625" style="1" customWidth="1"/>
    <col min="14033" max="14033" width="9.88671875" style="1" customWidth="1"/>
    <col min="14034" max="14034" width="7.109375" style="1" customWidth="1"/>
    <col min="14035" max="14035" width="8.88671875" style="1" customWidth="1"/>
    <col min="14036" max="14036" width="10.88671875" style="1" customWidth="1"/>
    <col min="14037" max="14037" width="8" style="1" customWidth="1"/>
    <col min="14038" max="14039" width="10" style="1" customWidth="1"/>
    <col min="14040" max="14040" width="12.88671875" style="1" customWidth="1"/>
    <col min="14041" max="14041" width="13.44140625" style="1" customWidth="1"/>
    <col min="14042" max="14284" width="10" style="1"/>
    <col min="14285" max="14285" width="6.109375" style="1" customWidth="1"/>
    <col min="14286" max="14286" width="12.6640625" style="1" customWidth="1"/>
    <col min="14287" max="14287" width="15.6640625" style="1" customWidth="1"/>
    <col min="14288" max="14288" width="17.6640625" style="1" customWidth="1"/>
    <col min="14289" max="14289" width="9.88671875" style="1" customWidth="1"/>
    <col min="14290" max="14290" width="7.109375" style="1" customWidth="1"/>
    <col min="14291" max="14291" width="8.88671875" style="1" customWidth="1"/>
    <col min="14292" max="14292" width="10.88671875" style="1" customWidth="1"/>
    <col min="14293" max="14293" width="8" style="1" customWidth="1"/>
    <col min="14294" max="14295" width="10" style="1" customWidth="1"/>
    <col min="14296" max="14296" width="12.88671875" style="1" customWidth="1"/>
    <col min="14297" max="14297" width="13.44140625" style="1" customWidth="1"/>
    <col min="14298" max="14540" width="10" style="1"/>
    <col min="14541" max="14541" width="6.109375" style="1" customWidth="1"/>
    <col min="14542" max="14542" width="12.6640625" style="1" customWidth="1"/>
    <col min="14543" max="14543" width="15.6640625" style="1" customWidth="1"/>
    <col min="14544" max="14544" width="17.6640625" style="1" customWidth="1"/>
    <col min="14545" max="14545" width="9.88671875" style="1" customWidth="1"/>
    <col min="14546" max="14546" width="7.109375" style="1" customWidth="1"/>
    <col min="14547" max="14547" width="8.88671875" style="1" customWidth="1"/>
    <col min="14548" max="14548" width="10.88671875" style="1" customWidth="1"/>
    <col min="14549" max="14549" width="8" style="1" customWidth="1"/>
    <col min="14550" max="14551" width="10" style="1" customWidth="1"/>
    <col min="14552" max="14552" width="12.88671875" style="1" customWidth="1"/>
    <col min="14553" max="14553" width="13.44140625" style="1" customWidth="1"/>
    <col min="14554" max="14796" width="10" style="1"/>
    <col min="14797" max="14797" width="6.109375" style="1" customWidth="1"/>
    <col min="14798" max="14798" width="12.6640625" style="1" customWidth="1"/>
    <col min="14799" max="14799" width="15.6640625" style="1" customWidth="1"/>
    <col min="14800" max="14800" width="17.6640625" style="1" customWidth="1"/>
    <col min="14801" max="14801" width="9.88671875" style="1" customWidth="1"/>
    <col min="14802" max="14802" width="7.109375" style="1" customWidth="1"/>
    <col min="14803" max="14803" width="8.88671875" style="1" customWidth="1"/>
    <col min="14804" max="14804" width="10.88671875" style="1" customWidth="1"/>
    <col min="14805" max="14805" width="8" style="1" customWidth="1"/>
    <col min="14806" max="14807" width="10" style="1" customWidth="1"/>
    <col min="14808" max="14808" width="12.88671875" style="1" customWidth="1"/>
    <col min="14809" max="14809" width="13.44140625" style="1" customWidth="1"/>
    <col min="14810" max="15052" width="10" style="1"/>
    <col min="15053" max="15053" width="6.109375" style="1" customWidth="1"/>
    <col min="15054" max="15054" width="12.6640625" style="1" customWidth="1"/>
    <col min="15055" max="15055" width="15.6640625" style="1" customWidth="1"/>
    <col min="15056" max="15056" width="17.6640625" style="1" customWidth="1"/>
    <col min="15057" max="15057" width="9.88671875" style="1" customWidth="1"/>
    <col min="15058" max="15058" width="7.109375" style="1" customWidth="1"/>
    <col min="15059" max="15059" width="8.88671875" style="1" customWidth="1"/>
    <col min="15060" max="15060" width="10.88671875" style="1" customWidth="1"/>
    <col min="15061" max="15061" width="8" style="1" customWidth="1"/>
    <col min="15062" max="15063" width="10" style="1" customWidth="1"/>
    <col min="15064" max="15064" width="12.88671875" style="1" customWidth="1"/>
    <col min="15065" max="15065" width="13.44140625" style="1" customWidth="1"/>
    <col min="15066" max="15308" width="10" style="1"/>
    <col min="15309" max="15309" width="6.109375" style="1" customWidth="1"/>
    <col min="15310" max="15310" width="12.6640625" style="1" customWidth="1"/>
    <col min="15311" max="15311" width="15.6640625" style="1" customWidth="1"/>
    <col min="15312" max="15312" width="17.6640625" style="1" customWidth="1"/>
    <col min="15313" max="15313" width="9.88671875" style="1" customWidth="1"/>
    <col min="15314" max="15314" width="7.109375" style="1" customWidth="1"/>
    <col min="15315" max="15315" width="8.88671875" style="1" customWidth="1"/>
    <col min="15316" max="15316" width="10.88671875" style="1" customWidth="1"/>
    <col min="15317" max="15317" width="8" style="1" customWidth="1"/>
    <col min="15318" max="15319" width="10" style="1" customWidth="1"/>
    <col min="15320" max="15320" width="12.88671875" style="1" customWidth="1"/>
    <col min="15321" max="15321" width="13.44140625" style="1" customWidth="1"/>
    <col min="15322" max="15564" width="10" style="1"/>
    <col min="15565" max="15565" width="6.109375" style="1" customWidth="1"/>
    <col min="15566" max="15566" width="12.6640625" style="1" customWidth="1"/>
    <col min="15567" max="15567" width="15.6640625" style="1" customWidth="1"/>
    <col min="15568" max="15568" width="17.6640625" style="1" customWidth="1"/>
    <col min="15569" max="15569" width="9.88671875" style="1" customWidth="1"/>
    <col min="15570" max="15570" width="7.109375" style="1" customWidth="1"/>
    <col min="15571" max="15571" width="8.88671875" style="1" customWidth="1"/>
    <col min="15572" max="15572" width="10.88671875" style="1" customWidth="1"/>
    <col min="15573" max="15573" width="8" style="1" customWidth="1"/>
    <col min="15574" max="15575" width="10" style="1" customWidth="1"/>
    <col min="15576" max="15576" width="12.88671875" style="1" customWidth="1"/>
    <col min="15577" max="15577" width="13.44140625" style="1" customWidth="1"/>
    <col min="15578" max="15820" width="10" style="1"/>
    <col min="15821" max="15821" width="6.109375" style="1" customWidth="1"/>
    <col min="15822" max="15822" width="12.6640625" style="1" customWidth="1"/>
    <col min="15823" max="15823" width="15.6640625" style="1" customWidth="1"/>
    <col min="15824" max="15824" width="17.6640625" style="1" customWidth="1"/>
    <col min="15825" max="15825" width="9.88671875" style="1" customWidth="1"/>
    <col min="15826" max="15826" width="7.109375" style="1" customWidth="1"/>
    <col min="15827" max="15827" width="8.88671875" style="1" customWidth="1"/>
    <col min="15828" max="15828" width="10.88671875" style="1" customWidth="1"/>
    <col min="15829" max="15829" width="8" style="1" customWidth="1"/>
    <col min="15830" max="15831" width="10" style="1" customWidth="1"/>
    <col min="15832" max="15832" width="12.88671875" style="1" customWidth="1"/>
    <col min="15833" max="15833" width="13.44140625" style="1" customWidth="1"/>
    <col min="15834" max="16076" width="10" style="1"/>
    <col min="16077" max="16077" width="6.109375" style="1" customWidth="1"/>
    <col min="16078" max="16078" width="12.6640625" style="1" customWidth="1"/>
    <col min="16079" max="16079" width="15.6640625" style="1" customWidth="1"/>
    <col min="16080" max="16080" width="17.6640625" style="1" customWidth="1"/>
    <col min="16081" max="16081" width="9.88671875" style="1" customWidth="1"/>
    <col min="16082" max="16082" width="7.109375" style="1" customWidth="1"/>
    <col min="16083" max="16083" width="8.88671875" style="1" customWidth="1"/>
    <col min="16084" max="16084" width="10.88671875" style="1" customWidth="1"/>
    <col min="16085" max="16085" width="8" style="1" customWidth="1"/>
    <col min="16086" max="16087" width="10" style="1" customWidth="1"/>
    <col min="16088" max="16088" width="12.88671875" style="1" customWidth="1"/>
    <col min="16089" max="16089" width="13.44140625" style="1" customWidth="1"/>
    <col min="16090" max="16384" width="10" style="1"/>
  </cols>
  <sheetData>
    <row r="1" spans="1:31" s="2" customFormat="1" ht="30.6" x14ac:dyDescent="0.55000000000000004">
      <c r="A1" s="11" t="s">
        <v>0</v>
      </c>
      <c r="B1" s="11"/>
      <c r="C1" s="11"/>
      <c r="D1" s="11"/>
      <c r="E1" s="11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28"/>
      <c r="AB1" s="1"/>
    </row>
    <row r="2" spans="1:31" s="3" customFormat="1" x14ac:dyDescent="0.3">
      <c r="A2" s="45" t="s">
        <v>13</v>
      </c>
      <c r="B2" s="45"/>
      <c r="C2" s="45"/>
      <c r="D2" s="6" t="s">
        <v>12</v>
      </c>
      <c r="E2" s="1"/>
      <c r="F2" s="38"/>
      <c r="G2" s="38"/>
      <c r="H2" s="38"/>
      <c r="I2" s="38"/>
      <c r="J2" s="38"/>
      <c r="K2" s="38"/>
      <c r="L2" s="38"/>
      <c r="M2" s="38"/>
      <c r="N2" s="38"/>
      <c r="O2" s="38"/>
      <c r="P2" s="47" t="s">
        <v>64</v>
      </c>
      <c r="Q2" s="47"/>
      <c r="R2" s="47"/>
      <c r="S2" s="46" t="s">
        <v>1</v>
      </c>
      <c r="T2" s="46"/>
      <c r="U2" s="46"/>
      <c r="V2" s="46"/>
      <c r="W2" s="46"/>
      <c r="X2" s="46"/>
      <c r="Y2" s="46"/>
      <c r="Z2" s="46"/>
    </row>
    <row r="3" spans="1:31" s="4" customFormat="1" ht="28.2" x14ac:dyDescent="0.3">
      <c r="A3" s="32" t="s">
        <v>56</v>
      </c>
      <c r="B3" s="33" t="s">
        <v>7</v>
      </c>
      <c r="C3" s="33" t="s">
        <v>8</v>
      </c>
      <c r="D3" s="33" t="s">
        <v>9</v>
      </c>
      <c r="E3" s="34" t="s">
        <v>10</v>
      </c>
      <c r="F3" s="39" t="s">
        <v>66</v>
      </c>
      <c r="G3" s="39" t="s">
        <v>67</v>
      </c>
      <c r="H3" s="39" t="s">
        <v>74</v>
      </c>
      <c r="I3" s="39" t="s">
        <v>75</v>
      </c>
      <c r="J3" s="39" t="s">
        <v>76</v>
      </c>
      <c r="K3" s="39" t="s">
        <v>77</v>
      </c>
      <c r="L3" s="39" t="s">
        <v>82</v>
      </c>
      <c r="M3" s="39" t="s">
        <v>83</v>
      </c>
      <c r="N3" s="39" t="s">
        <v>85</v>
      </c>
      <c r="O3" s="42" t="s">
        <v>78</v>
      </c>
      <c r="P3" s="39" t="s">
        <v>66</v>
      </c>
      <c r="Q3" s="39" t="s">
        <v>67</v>
      </c>
      <c r="R3" s="40" t="s">
        <v>65</v>
      </c>
      <c r="S3" s="12" t="s">
        <v>2</v>
      </c>
      <c r="T3" s="27" t="s">
        <v>11</v>
      </c>
      <c r="U3" s="12" t="s">
        <v>6</v>
      </c>
      <c r="V3" s="12" t="s">
        <v>79</v>
      </c>
      <c r="W3" s="12" t="s">
        <v>81</v>
      </c>
      <c r="X3" s="12" t="s">
        <v>84</v>
      </c>
      <c r="Y3" s="12" t="s">
        <v>84</v>
      </c>
      <c r="Z3" s="12" t="s">
        <v>3</v>
      </c>
      <c r="AA3" s="15" t="s">
        <v>4</v>
      </c>
      <c r="AB3" s="16" t="s">
        <v>5</v>
      </c>
      <c r="AC3" s="12" t="s">
        <v>68</v>
      </c>
      <c r="AD3" s="12" t="s">
        <v>80</v>
      </c>
      <c r="AE3" s="12" t="s">
        <v>86</v>
      </c>
    </row>
    <row r="4" spans="1:31" s="3" customFormat="1" ht="32.4" x14ac:dyDescent="0.3">
      <c r="A4" s="35">
        <v>1</v>
      </c>
      <c r="B4" s="36" t="s">
        <v>14</v>
      </c>
      <c r="C4" s="36" t="s">
        <v>15</v>
      </c>
      <c r="D4" s="36" t="s">
        <v>16</v>
      </c>
      <c r="E4" s="37" t="s">
        <v>17</v>
      </c>
      <c r="F4" s="41">
        <v>29</v>
      </c>
      <c r="G4" s="41"/>
      <c r="H4" s="41"/>
      <c r="I4" s="41">
        <v>33</v>
      </c>
      <c r="J4" s="41"/>
      <c r="K4" s="41"/>
      <c r="L4" s="41"/>
      <c r="M4" s="41"/>
      <c r="N4" s="41"/>
      <c r="O4" s="43">
        <f t="shared" ref="O4:O35" si="0">SUM(G4:N4)</f>
        <v>33</v>
      </c>
      <c r="P4" s="41">
        <v>29</v>
      </c>
      <c r="Q4" s="41"/>
      <c r="R4" s="41">
        <f>SUM(P4:Q4)</f>
        <v>29</v>
      </c>
      <c r="S4" s="10">
        <v>29</v>
      </c>
      <c r="T4" s="30">
        <v>0</v>
      </c>
      <c r="U4" s="3">
        <v>0</v>
      </c>
      <c r="V4" s="3">
        <v>4</v>
      </c>
      <c r="Z4" s="13">
        <f t="shared" ref="Z4" si="1">SUM(T4:Y4)</f>
        <v>4</v>
      </c>
      <c r="AA4" s="14">
        <f t="shared" ref="AA4" si="2">+AB4-Z4</f>
        <v>0</v>
      </c>
      <c r="AB4" s="31">
        <f t="shared" ref="AB4" si="3">SUM(AC4:EP4)</f>
        <v>4</v>
      </c>
      <c r="AD4" s="3">
        <v>4</v>
      </c>
    </row>
    <row r="5" spans="1:31" s="3" customFormat="1" ht="32.4" x14ac:dyDescent="0.3">
      <c r="A5" s="35">
        <v>2</v>
      </c>
      <c r="B5" s="36" t="s">
        <v>14</v>
      </c>
      <c r="C5" s="36" t="s">
        <v>18</v>
      </c>
      <c r="D5" s="36" t="s">
        <v>16</v>
      </c>
      <c r="E5" s="37" t="s">
        <v>17</v>
      </c>
      <c r="F5" s="41">
        <v>174</v>
      </c>
      <c r="G5" s="41"/>
      <c r="H5" s="41"/>
      <c r="I5" s="41">
        <v>174</v>
      </c>
      <c r="J5" s="41"/>
      <c r="K5" s="41"/>
      <c r="L5" s="41"/>
      <c r="M5" s="41"/>
      <c r="N5" s="41"/>
      <c r="O5" s="43">
        <f t="shared" si="0"/>
        <v>174</v>
      </c>
      <c r="P5" s="41">
        <v>174</v>
      </c>
      <c r="Q5" s="41"/>
      <c r="R5" s="41">
        <f t="shared" ref="R5:R66" si="4">SUM(P5:Q5)</f>
        <v>174</v>
      </c>
      <c r="S5" s="10">
        <v>129</v>
      </c>
      <c r="T5" s="30">
        <v>45</v>
      </c>
      <c r="U5" s="3">
        <v>0</v>
      </c>
      <c r="Z5" s="13">
        <f t="shared" ref="Z5:Z66" si="5">SUM(T5:Y5)</f>
        <v>45</v>
      </c>
      <c r="AA5" s="14">
        <f t="shared" ref="AA5:AA66" si="6">+AB5-Z5</f>
        <v>0</v>
      </c>
      <c r="AB5" s="31">
        <f t="shared" ref="AB5:AB66" si="7">SUM(AC5:EP5)</f>
        <v>45</v>
      </c>
      <c r="AC5" s="3">
        <v>45</v>
      </c>
    </row>
    <row r="6" spans="1:31" s="3" customFormat="1" ht="32.4" x14ac:dyDescent="0.3">
      <c r="A6" s="35">
        <v>3</v>
      </c>
      <c r="B6" s="36" t="s">
        <v>14</v>
      </c>
      <c r="C6" s="36" t="s">
        <v>19</v>
      </c>
      <c r="D6" s="36" t="s">
        <v>16</v>
      </c>
      <c r="E6" s="37" t="s">
        <v>17</v>
      </c>
      <c r="F6" s="41">
        <v>458</v>
      </c>
      <c r="G6" s="41"/>
      <c r="H6" s="41"/>
      <c r="I6" s="41">
        <v>480</v>
      </c>
      <c r="J6" s="41"/>
      <c r="K6" s="41"/>
      <c r="L6" s="41"/>
      <c r="M6" s="41"/>
      <c r="N6" s="41"/>
      <c r="O6" s="43">
        <f t="shared" si="0"/>
        <v>480</v>
      </c>
      <c r="P6" s="41">
        <v>453</v>
      </c>
      <c r="Q6" s="41"/>
      <c r="R6" s="41">
        <f t="shared" si="4"/>
        <v>453</v>
      </c>
      <c r="S6" s="10">
        <v>38</v>
      </c>
      <c r="T6" s="30">
        <v>420</v>
      </c>
      <c r="U6" s="3">
        <v>11</v>
      </c>
      <c r="V6" s="3">
        <v>11</v>
      </c>
      <c r="Z6" s="13">
        <f t="shared" si="5"/>
        <v>442</v>
      </c>
      <c r="AA6" s="14">
        <f t="shared" si="6"/>
        <v>0</v>
      </c>
      <c r="AB6" s="31">
        <f t="shared" si="7"/>
        <v>442</v>
      </c>
      <c r="AC6" s="3">
        <v>431</v>
      </c>
      <c r="AD6" s="3">
        <v>11</v>
      </c>
    </row>
    <row r="7" spans="1:31" s="3" customFormat="1" ht="32.4" x14ac:dyDescent="0.3">
      <c r="A7" s="35">
        <v>4</v>
      </c>
      <c r="B7" s="36" t="s">
        <v>14</v>
      </c>
      <c r="C7" s="36" t="s">
        <v>20</v>
      </c>
      <c r="D7" s="36" t="s">
        <v>16</v>
      </c>
      <c r="E7" s="37" t="s">
        <v>17</v>
      </c>
      <c r="F7" s="41">
        <v>127</v>
      </c>
      <c r="G7" s="41"/>
      <c r="H7" s="41"/>
      <c r="I7" s="41">
        <v>128</v>
      </c>
      <c r="J7" s="41"/>
      <c r="K7" s="41"/>
      <c r="L7" s="41"/>
      <c r="M7" s="41"/>
      <c r="N7" s="41"/>
      <c r="O7" s="43">
        <f t="shared" si="0"/>
        <v>128</v>
      </c>
      <c r="P7" s="41">
        <v>127</v>
      </c>
      <c r="Q7" s="41"/>
      <c r="R7" s="41">
        <f t="shared" si="4"/>
        <v>127</v>
      </c>
      <c r="S7" s="10">
        <v>91</v>
      </c>
      <c r="T7" s="30">
        <v>36</v>
      </c>
      <c r="U7" s="3">
        <v>3</v>
      </c>
      <c r="Z7" s="13">
        <f t="shared" si="5"/>
        <v>39</v>
      </c>
      <c r="AA7" s="14">
        <f t="shared" si="6"/>
        <v>0</v>
      </c>
      <c r="AB7" s="31">
        <f t="shared" si="7"/>
        <v>39</v>
      </c>
      <c r="AC7" s="3">
        <v>39</v>
      </c>
    </row>
    <row r="8" spans="1:31" s="3" customFormat="1" ht="32.4" x14ac:dyDescent="0.3">
      <c r="A8" s="35">
        <v>5</v>
      </c>
      <c r="B8" s="36" t="s">
        <v>14</v>
      </c>
      <c r="C8" s="36" t="s">
        <v>21</v>
      </c>
      <c r="D8" s="36" t="s">
        <v>16</v>
      </c>
      <c r="E8" s="37" t="s">
        <v>17</v>
      </c>
      <c r="F8" s="41">
        <v>3</v>
      </c>
      <c r="G8" s="41"/>
      <c r="H8" s="41"/>
      <c r="I8" s="41">
        <v>1</v>
      </c>
      <c r="J8" s="41"/>
      <c r="K8" s="41"/>
      <c r="L8" s="41"/>
      <c r="M8" s="41"/>
      <c r="N8" s="41"/>
      <c r="O8" s="43">
        <f t="shared" si="0"/>
        <v>1</v>
      </c>
      <c r="P8" s="41">
        <v>3</v>
      </c>
      <c r="Q8" s="41"/>
      <c r="R8" s="41">
        <f t="shared" si="4"/>
        <v>3</v>
      </c>
      <c r="S8" s="10"/>
      <c r="T8" s="30">
        <v>3</v>
      </c>
      <c r="U8" s="3">
        <v>0</v>
      </c>
      <c r="Z8" s="13">
        <f t="shared" si="5"/>
        <v>3</v>
      </c>
      <c r="AA8" s="14">
        <f t="shared" si="6"/>
        <v>0</v>
      </c>
      <c r="AB8" s="31">
        <f t="shared" si="7"/>
        <v>3</v>
      </c>
      <c r="AC8" s="3">
        <v>3</v>
      </c>
    </row>
    <row r="9" spans="1:31" s="3" customFormat="1" ht="32.4" x14ac:dyDescent="0.3">
      <c r="A9" s="35">
        <v>6</v>
      </c>
      <c r="B9" s="36" t="s">
        <v>14</v>
      </c>
      <c r="C9" s="36" t="s">
        <v>22</v>
      </c>
      <c r="D9" s="36" t="s">
        <v>16</v>
      </c>
      <c r="E9" s="37" t="s">
        <v>17</v>
      </c>
      <c r="F9" s="41">
        <v>207</v>
      </c>
      <c r="G9" s="41"/>
      <c r="H9" s="41"/>
      <c r="I9" s="41">
        <v>212</v>
      </c>
      <c r="J9" s="41"/>
      <c r="K9" s="41"/>
      <c r="L9" s="41">
        <v>4</v>
      </c>
      <c r="M9" s="41"/>
      <c r="N9" s="41"/>
      <c r="O9" s="43">
        <f t="shared" si="0"/>
        <v>216</v>
      </c>
      <c r="P9" s="41">
        <v>193</v>
      </c>
      <c r="Q9" s="41"/>
      <c r="R9" s="41">
        <f t="shared" si="4"/>
        <v>193</v>
      </c>
      <c r="S9" s="10">
        <v>40</v>
      </c>
      <c r="T9" s="30">
        <v>167</v>
      </c>
      <c r="U9" s="3">
        <v>17</v>
      </c>
      <c r="Z9" s="13">
        <f t="shared" si="5"/>
        <v>184</v>
      </c>
      <c r="AA9" s="14">
        <f t="shared" si="6"/>
        <v>0</v>
      </c>
      <c r="AB9" s="31">
        <f t="shared" si="7"/>
        <v>184</v>
      </c>
      <c r="AC9" s="3">
        <v>184</v>
      </c>
    </row>
    <row r="10" spans="1:31" s="3" customFormat="1" ht="32.4" x14ac:dyDescent="0.3">
      <c r="A10" s="35">
        <v>7</v>
      </c>
      <c r="B10" s="36" t="s">
        <v>14</v>
      </c>
      <c r="C10" s="36" t="s">
        <v>23</v>
      </c>
      <c r="D10" s="36" t="s">
        <v>16</v>
      </c>
      <c r="E10" s="37" t="s">
        <v>17</v>
      </c>
      <c r="F10" s="41">
        <v>127</v>
      </c>
      <c r="G10" s="41"/>
      <c r="H10" s="41"/>
      <c r="I10" s="41">
        <v>132</v>
      </c>
      <c r="J10" s="41"/>
      <c r="K10" s="41"/>
      <c r="L10" s="41"/>
      <c r="M10" s="41"/>
      <c r="N10" s="41"/>
      <c r="O10" s="43">
        <f t="shared" si="0"/>
        <v>132</v>
      </c>
      <c r="P10" s="41">
        <v>117</v>
      </c>
      <c r="Q10" s="41"/>
      <c r="R10" s="41">
        <f t="shared" si="4"/>
        <v>117</v>
      </c>
      <c r="S10" s="10">
        <v>105</v>
      </c>
      <c r="T10" s="30">
        <v>22</v>
      </c>
      <c r="U10" s="3">
        <v>9</v>
      </c>
      <c r="Z10" s="13">
        <f t="shared" si="5"/>
        <v>31</v>
      </c>
      <c r="AA10" s="14">
        <f t="shared" si="6"/>
        <v>0</v>
      </c>
      <c r="AB10" s="31">
        <f t="shared" si="7"/>
        <v>31</v>
      </c>
      <c r="AC10" s="3">
        <v>31</v>
      </c>
    </row>
    <row r="11" spans="1:31" s="3" customFormat="1" ht="32.4" x14ac:dyDescent="0.3">
      <c r="A11" s="35">
        <v>8</v>
      </c>
      <c r="B11" s="36" t="s">
        <v>14</v>
      </c>
      <c r="C11" s="36" t="s">
        <v>24</v>
      </c>
      <c r="D11" s="36" t="s">
        <v>16</v>
      </c>
      <c r="E11" s="37" t="s">
        <v>17</v>
      </c>
      <c r="F11" s="41">
        <v>142</v>
      </c>
      <c r="G11" s="41"/>
      <c r="H11" s="41"/>
      <c r="I11" s="41">
        <v>142</v>
      </c>
      <c r="J11" s="41"/>
      <c r="K11" s="41"/>
      <c r="L11" s="41">
        <v>6</v>
      </c>
      <c r="M11" s="41"/>
      <c r="N11" s="41"/>
      <c r="O11" s="43">
        <f t="shared" si="0"/>
        <v>148</v>
      </c>
      <c r="P11" s="41">
        <v>139</v>
      </c>
      <c r="Q11" s="41"/>
      <c r="R11" s="41">
        <f t="shared" si="4"/>
        <v>139</v>
      </c>
      <c r="S11" s="10"/>
      <c r="T11" s="30">
        <v>142</v>
      </c>
      <c r="U11" s="3">
        <v>3</v>
      </c>
      <c r="W11" s="3">
        <v>3</v>
      </c>
      <c r="Z11" s="13">
        <f t="shared" si="5"/>
        <v>148</v>
      </c>
      <c r="AA11" s="14">
        <f t="shared" si="6"/>
        <v>-3</v>
      </c>
      <c r="AB11" s="31">
        <f t="shared" si="7"/>
        <v>145</v>
      </c>
      <c r="AC11" s="3">
        <v>145</v>
      </c>
    </row>
    <row r="12" spans="1:31" s="3" customFormat="1" ht="32.4" x14ac:dyDescent="0.3">
      <c r="A12" s="35">
        <v>9</v>
      </c>
      <c r="B12" s="36" t="s">
        <v>14</v>
      </c>
      <c r="C12" s="36" t="s">
        <v>25</v>
      </c>
      <c r="D12" s="36" t="s">
        <v>16</v>
      </c>
      <c r="E12" s="37" t="s">
        <v>17</v>
      </c>
      <c r="F12" s="41">
        <v>40</v>
      </c>
      <c r="G12" s="41"/>
      <c r="H12" s="41"/>
      <c r="I12" s="41">
        <v>41</v>
      </c>
      <c r="J12" s="41"/>
      <c r="K12" s="41"/>
      <c r="L12" s="41"/>
      <c r="M12" s="41"/>
      <c r="N12" s="41"/>
      <c r="O12" s="43">
        <f t="shared" si="0"/>
        <v>41</v>
      </c>
      <c r="P12" s="41">
        <v>41</v>
      </c>
      <c r="Q12" s="41"/>
      <c r="R12" s="41">
        <f t="shared" si="4"/>
        <v>41</v>
      </c>
      <c r="S12" s="10">
        <v>15</v>
      </c>
      <c r="T12" s="30">
        <v>25</v>
      </c>
      <c r="U12" s="3">
        <v>0</v>
      </c>
      <c r="V12" s="3">
        <v>1</v>
      </c>
      <c r="Z12" s="13">
        <f t="shared" si="5"/>
        <v>26</v>
      </c>
      <c r="AA12" s="14">
        <f t="shared" si="6"/>
        <v>0</v>
      </c>
      <c r="AB12" s="31">
        <f t="shared" si="7"/>
        <v>26</v>
      </c>
      <c r="AC12" s="3">
        <v>25</v>
      </c>
      <c r="AD12" s="3">
        <v>1</v>
      </c>
    </row>
    <row r="13" spans="1:31" s="3" customFormat="1" ht="32.4" x14ac:dyDescent="0.3">
      <c r="A13" s="35">
        <v>10</v>
      </c>
      <c r="B13" s="36" t="s">
        <v>14</v>
      </c>
      <c r="C13" s="36" t="s">
        <v>26</v>
      </c>
      <c r="D13" s="36" t="s">
        <v>16</v>
      </c>
      <c r="E13" s="37" t="s">
        <v>17</v>
      </c>
      <c r="F13" s="41">
        <v>4</v>
      </c>
      <c r="G13" s="41"/>
      <c r="H13" s="41"/>
      <c r="I13" s="41">
        <v>4</v>
      </c>
      <c r="J13" s="41"/>
      <c r="K13" s="41"/>
      <c r="L13" s="41"/>
      <c r="M13" s="41"/>
      <c r="N13" s="41"/>
      <c r="O13" s="43">
        <f t="shared" si="0"/>
        <v>4</v>
      </c>
      <c r="P13" s="41">
        <v>4</v>
      </c>
      <c r="Q13" s="41"/>
      <c r="R13" s="41">
        <f t="shared" si="4"/>
        <v>4</v>
      </c>
      <c r="S13" s="10">
        <v>1</v>
      </c>
      <c r="T13" s="30">
        <v>3</v>
      </c>
      <c r="U13" s="3">
        <v>0</v>
      </c>
      <c r="Z13" s="13">
        <f t="shared" si="5"/>
        <v>3</v>
      </c>
      <c r="AA13" s="14">
        <f t="shared" si="6"/>
        <v>0</v>
      </c>
      <c r="AB13" s="31">
        <f t="shared" si="7"/>
        <v>3</v>
      </c>
      <c r="AC13" s="3">
        <v>3</v>
      </c>
    </row>
    <row r="14" spans="1:31" s="3" customFormat="1" ht="32.4" x14ac:dyDescent="0.3">
      <c r="A14" s="35">
        <v>11</v>
      </c>
      <c r="B14" s="36" t="s">
        <v>14</v>
      </c>
      <c r="C14" s="36" t="s">
        <v>27</v>
      </c>
      <c r="D14" s="36" t="s">
        <v>16</v>
      </c>
      <c r="E14" s="37" t="s">
        <v>17</v>
      </c>
      <c r="F14" s="41">
        <v>1</v>
      </c>
      <c r="G14" s="41"/>
      <c r="H14" s="41"/>
      <c r="I14" s="41">
        <v>1</v>
      </c>
      <c r="J14" s="41"/>
      <c r="K14" s="41"/>
      <c r="L14" s="41"/>
      <c r="M14" s="41"/>
      <c r="N14" s="41"/>
      <c r="O14" s="43">
        <f t="shared" si="0"/>
        <v>1</v>
      </c>
      <c r="P14" s="41">
        <v>1</v>
      </c>
      <c r="Q14" s="41"/>
      <c r="R14" s="41">
        <f t="shared" si="4"/>
        <v>1</v>
      </c>
      <c r="S14" s="10">
        <v>1</v>
      </c>
      <c r="T14" s="30">
        <v>0</v>
      </c>
      <c r="U14" s="3">
        <v>0</v>
      </c>
      <c r="Z14" s="13">
        <f t="shared" si="5"/>
        <v>0</v>
      </c>
      <c r="AA14" s="14">
        <f t="shared" si="6"/>
        <v>0</v>
      </c>
      <c r="AB14" s="31">
        <f t="shared" si="7"/>
        <v>0</v>
      </c>
    </row>
    <row r="15" spans="1:31" s="3" customFormat="1" ht="32.4" x14ac:dyDescent="0.3">
      <c r="A15" s="35">
        <v>12</v>
      </c>
      <c r="B15" s="36" t="s">
        <v>14</v>
      </c>
      <c r="C15" s="36" t="s">
        <v>28</v>
      </c>
      <c r="D15" s="36" t="s">
        <v>16</v>
      </c>
      <c r="E15" s="37" t="s">
        <v>17</v>
      </c>
      <c r="F15" s="41">
        <v>3</v>
      </c>
      <c r="G15" s="41"/>
      <c r="H15" s="41"/>
      <c r="I15" s="41">
        <v>3</v>
      </c>
      <c r="J15" s="41"/>
      <c r="K15" s="41"/>
      <c r="L15" s="41"/>
      <c r="M15" s="41"/>
      <c r="N15" s="41"/>
      <c r="O15" s="43">
        <f t="shared" si="0"/>
        <v>3</v>
      </c>
      <c r="P15" s="41">
        <v>3</v>
      </c>
      <c r="Q15" s="41"/>
      <c r="R15" s="41">
        <f t="shared" si="4"/>
        <v>3</v>
      </c>
      <c r="S15" s="10">
        <v>1</v>
      </c>
      <c r="T15" s="30">
        <v>2</v>
      </c>
      <c r="U15" s="3">
        <v>0</v>
      </c>
      <c r="Z15" s="13">
        <f t="shared" si="5"/>
        <v>2</v>
      </c>
      <c r="AA15" s="14">
        <f t="shared" si="6"/>
        <v>0</v>
      </c>
      <c r="AB15" s="31">
        <f t="shared" si="7"/>
        <v>2</v>
      </c>
      <c r="AC15" s="3">
        <v>2</v>
      </c>
    </row>
    <row r="16" spans="1:31" s="3" customFormat="1" ht="48.6" x14ac:dyDescent="0.3">
      <c r="A16" s="35">
        <v>13</v>
      </c>
      <c r="B16" s="36" t="s">
        <v>14</v>
      </c>
      <c r="C16" s="36" t="s">
        <v>29</v>
      </c>
      <c r="D16" s="36" t="s">
        <v>30</v>
      </c>
      <c r="E16" s="37" t="s">
        <v>17</v>
      </c>
      <c r="F16" s="41">
        <v>3</v>
      </c>
      <c r="G16" s="41"/>
      <c r="H16" s="41">
        <v>2</v>
      </c>
      <c r="I16" s="41">
        <v>2</v>
      </c>
      <c r="J16" s="41"/>
      <c r="K16" s="41"/>
      <c r="L16" s="41"/>
      <c r="M16" s="41"/>
      <c r="N16" s="41"/>
      <c r="O16" s="43">
        <f t="shared" si="0"/>
        <v>4</v>
      </c>
      <c r="P16" s="41">
        <v>3</v>
      </c>
      <c r="Q16" s="41"/>
      <c r="R16" s="41">
        <f t="shared" si="4"/>
        <v>3</v>
      </c>
      <c r="S16" s="10">
        <v>3</v>
      </c>
      <c r="T16" s="30">
        <v>0</v>
      </c>
      <c r="U16" s="3">
        <v>0</v>
      </c>
      <c r="V16" s="3">
        <v>1</v>
      </c>
      <c r="Z16" s="13">
        <f t="shared" si="5"/>
        <v>1</v>
      </c>
      <c r="AA16" s="14">
        <f t="shared" si="6"/>
        <v>0</v>
      </c>
      <c r="AB16" s="31">
        <f t="shared" si="7"/>
        <v>1</v>
      </c>
      <c r="AD16" s="3">
        <v>1</v>
      </c>
    </row>
    <row r="17" spans="1:30" s="3" customFormat="1" ht="48.6" x14ac:dyDescent="0.3">
      <c r="A17" s="35">
        <v>14</v>
      </c>
      <c r="B17" s="36" t="s">
        <v>14</v>
      </c>
      <c r="C17" s="36" t="s">
        <v>31</v>
      </c>
      <c r="D17" s="36" t="s">
        <v>30</v>
      </c>
      <c r="E17" s="37" t="s">
        <v>17</v>
      </c>
      <c r="F17" s="41">
        <v>3</v>
      </c>
      <c r="G17" s="41"/>
      <c r="H17" s="41">
        <v>2</v>
      </c>
      <c r="I17" s="41">
        <v>9</v>
      </c>
      <c r="J17" s="41"/>
      <c r="K17" s="41"/>
      <c r="L17" s="41"/>
      <c r="M17" s="41"/>
      <c r="N17" s="41"/>
      <c r="O17" s="43">
        <f t="shared" si="0"/>
        <v>11</v>
      </c>
      <c r="P17" s="41">
        <v>3</v>
      </c>
      <c r="Q17" s="41"/>
      <c r="R17" s="41">
        <f t="shared" si="4"/>
        <v>3</v>
      </c>
      <c r="S17" s="10">
        <v>3</v>
      </c>
      <c r="T17" s="30">
        <v>0</v>
      </c>
      <c r="U17" s="3">
        <v>6</v>
      </c>
      <c r="V17" s="3">
        <v>2</v>
      </c>
      <c r="Z17" s="13">
        <f t="shared" si="5"/>
        <v>8</v>
      </c>
      <c r="AA17" s="14">
        <f t="shared" si="6"/>
        <v>0</v>
      </c>
      <c r="AB17" s="31">
        <f t="shared" si="7"/>
        <v>8</v>
      </c>
      <c r="AC17" s="3">
        <v>6</v>
      </c>
      <c r="AD17" s="3">
        <v>2</v>
      </c>
    </row>
    <row r="18" spans="1:30" s="3" customFormat="1" ht="48.6" x14ac:dyDescent="0.3">
      <c r="A18" s="35">
        <v>15</v>
      </c>
      <c r="B18" s="36" t="s">
        <v>14</v>
      </c>
      <c r="C18" s="36" t="s">
        <v>32</v>
      </c>
      <c r="D18" s="36" t="s">
        <v>30</v>
      </c>
      <c r="E18" s="37" t="s">
        <v>17</v>
      </c>
      <c r="F18" s="41">
        <v>31</v>
      </c>
      <c r="G18" s="41">
        <v>6</v>
      </c>
      <c r="H18" s="41">
        <v>6</v>
      </c>
      <c r="I18" s="41">
        <v>30</v>
      </c>
      <c r="J18" s="41"/>
      <c r="K18" s="41"/>
      <c r="L18" s="41"/>
      <c r="M18" s="41"/>
      <c r="N18" s="41"/>
      <c r="O18" s="43">
        <f t="shared" si="0"/>
        <v>42</v>
      </c>
      <c r="P18" s="41">
        <v>31</v>
      </c>
      <c r="Q18" s="41">
        <v>6</v>
      </c>
      <c r="R18" s="41">
        <f t="shared" si="4"/>
        <v>37</v>
      </c>
      <c r="S18" s="10"/>
      <c r="T18" s="30">
        <v>37</v>
      </c>
      <c r="U18" s="3">
        <v>0</v>
      </c>
      <c r="V18" s="3">
        <v>5</v>
      </c>
      <c r="Z18" s="13">
        <f t="shared" si="5"/>
        <v>42</v>
      </c>
      <c r="AA18" s="14">
        <f t="shared" si="6"/>
        <v>0</v>
      </c>
      <c r="AB18" s="31">
        <f t="shared" si="7"/>
        <v>42</v>
      </c>
      <c r="AC18" s="3">
        <v>37</v>
      </c>
      <c r="AD18" s="3">
        <v>5</v>
      </c>
    </row>
    <row r="19" spans="1:30" s="3" customFormat="1" ht="48.6" x14ac:dyDescent="0.3">
      <c r="A19" s="35">
        <v>16</v>
      </c>
      <c r="B19" s="36" t="s">
        <v>14</v>
      </c>
      <c r="C19" s="36" t="s">
        <v>33</v>
      </c>
      <c r="D19" s="36" t="s">
        <v>30</v>
      </c>
      <c r="E19" s="37" t="s">
        <v>17</v>
      </c>
      <c r="F19" s="41">
        <v>5</v>
      </c>
      <c r="G19" s="41"/>
      <c r="H19" s="41">
        <v>7</v>
      </c>
      <c r="I19" s="41">
        <v>5</v>
      </c>
      <c r="J19" s="41"/>
      <c r="K19" s="41"/>
      <c r="L19" s="41"/>
      <c r="M19" s="41"/>
      <c r="N19" s="41"/>
      <c r="O19" s="43">
        <f t="shared" si="0"/>
        <v>12</v>
      </c>
      <c r="P19" s="41">
        <v>1</v>
      </c>
      <c r="Q19" s="41"/>
      <c r="R19" s="41">
        <f t="shared" si="4"/>
        <v>1</v>
      </c>
      <c r="S19" s="10">
        <v>5</v>
      </c>
      <c r="T19" s="30">
        <v>0</v>
      </c>
      <c r="U19" s="3">
        <v>4</v>
      </c>
      <c r="V19" s="3">
        <v>3</v>
      </c>
      <c r="Z19" s="13">
        <f t="shared" si="5"/>
        <v>7</v>
      </c>
      <c r="AA19" s="14">
        <f t="shared" si="6"/>
        <v>0</v>
      </c>
      <c r="AB19" s="31">
        <f t="shared" si="7"/>
        <v>7</v>
      </c>
      <c r="AC19" s="3">
        <v>4</v>
      </c>
      <c r="AD19" s="3">
        <v>3</v>
      </c>
    </row>
    <row r="20" spans="1:30" s="3" customFormat="1" ht="48.6" x14ac:dyDescent="0.3">
      <c r="A20" s="35">
        <v>17</v>
      </c>
      <c r="B20" s="36" t="s">
        <v>14</v>
      </c>
      <c r="C20" s="36" t="s">
        <v>34</v>
      </c>
      <c r="D20" s="36" t="s">
        <v>30</v>
      </c>
      <c r="E20" s="37" t="s">
        <v>17</v>
      </c>
      <c r="F20" s="41">
        <v>27</v>
      </c>
      <c r="G20" s="41">
        <v>1</v>
      </c>
      <c r="H20" s="41">
        <v>2</v>
      </c>
      <c r="I20" s="41">
        <v>29</v>
      </c>
      <c r="J20" s="41"/>
      <c r="K20" s="41"/>
      <c r="L20" s="41"/>
      <c r="M20" s="41"/>
      <c r="N20" s="41"/>
      <c r="O20" s="43">
        <f t="shared" si="0"/>
        <v>32</v>
      </c>
      <c r="P20" s="41">
        <v>25</v>
      </c>
      <c r="Q20" s="41">
        <v>1</v>
      </c>
      <c r="R20" s="41">
        <f t="shared" si="4"/>
        <v>26</v>
      </c>
      <c r="S20" s="10">
        <v>28</v>
      </c>
      <c r="T20" s="30">
        <v>0</v>
      </c>
      <c r="U20" s="3">
        <v>4</v>
      </c>
      <c r="Z20" s="13">
        <f t="shared" si="5"/>
        <v>4</v>
      </c>
      <c r="AA20" s="14">
        <f t="shared" si="6"/>
        <v>0</v>
      </c>
      <c r="AB20" s="31">
        <f t="shared" si="7"/>
        <v>4</v>
      </c>
      <c r="AC20" s="3">
        <v>4</v>
      </c>
    </row>
    <row r="21" spans="1:30" s="3" customFormat="1" ht="48.6" x14ac:dyDescent="0.3">
      <c r="A21" s="35">
        <v>18</v>
      </c>
      <c r="B21" s="36" t="s">
        <v>14</v>
      </c>
      <c r="C21" s="36" t="s">
        <v>42</v>
      </c>
      <c r="D21" s="36" t="s">
        <v>30</v>
      </c>
      <c r="E21" s="37" t="s">
        <v>17</v>
      </c>
      <c r="F21" s="41"/>
      <c r="G21" s="41">
        <v>12</v>
      </c>
      <c r="H21" s="41"/>
      <c r="I21" s="41">
        <v>2</v>
      </c>
      <c r="J21" s="41"/>
      <c r="K21" s="41"/>
      <c r="L21" s="41"/>
      <c r="M21" s="41"/>
      <c r="N21" s="41"/>
      <c r="O21" s="43">
        <f t="shared" si="0"/>
        <v>14</v>
      </c>
      <c r="P21" s="41"/>
      <c r="Q21" s="41">
        <v>12</v>
      </c>
      <c r="R21" s="41">
        <f t="shared" si="4"/>
        <v>12</v>
      </c>
      <c r="S21" s="10"/>
      <c r="T21" s="30">
        <v>12</v>
      </c>
      <c r="U21" s="3">
        <v>0</v>
      </c>
      <c r="V21" s="3">
        <v>2</v>
      </c>
      <c r="Z21" s="13">
        <f t="shared" si="5"/>
        <v>14</v>
      </c>
      <c r="AA21" s="14">
        <f t="shared" si="6"/>
        <v>0</v>
      </c>
      <c r="AB21" s="31">
        <f t="shared" si="7"/>
        <v>14</v>
      </c>
      <c r="AC21" s="3">
        <v>12</v>
      </c>
      <c r="AD21" s="3">
        <v>2</v>
      </c>
    </row>
    <row r="22" spans="1:30" s="3" customFormat="1" ht="48.6" x14ac:dyDescent="0.3">
      <c r="A22" s="35">
        <v>19</v>
      </c>
      <c r="B22" s="36" t="s">
        <v>14</v>
      </c>
      <c r="C22" s="36" t="s">
        <v>35</v>
      </c>
      <c r="D22" s="36" t="s">
        <v>30</v>
      </c>
      <c r="E22" s="37" t="s">
        <v>17</v>
      </c>
      <c r="F22" s="41">
        <v>26</v>
      </c>
      <c r="G22" s="41"/>
      <c r="H22" s="41">
        <v>1</v>
      </c>
      <c r="I22" s="41">
        <v>26</v>
      </c>
      <c r="J22" s="41"/>
      <c r="K22" s="41"/>
      <c r="L22" s="41"/>
      <c r="M22" s="41"/>
      <c r="N22" s="41"/>
      <c r="O22" s="43">
        <f t="shared" si="0"/>
        <v>27</v>
      </c>
      <c r="P22" s="41">
        <v>27</v>
      </c>
      <c r="Q22" s="41"/>
      <c r="R22" s="41">
        <f t="shared" si="4"/>
        <v>27</v>
      </c>
      <c r="S22" s="10"/>
      <c r="T22" s="30">
        <v>26</v>
      </c>
      <c r="U22" s="3">
        <v>0</v>
      </c>
      <c r="V22" s="3">
        <v>1</v>
      </c>
      <c r="Z22" s="13">
        <f t="shared" si="5"/>
        <v>27</v>
      </c>
      <c r="AA22" s="14">
        <f t="shared" si="6"/>
        <v>0</v>
      </c>
      <c r="AB22" s="31">
        <f t="shared" si="7"/>
        <v>27</v>
      </c>
      <c r="AC22" s="3">
        <v>26</v>
      </c>
      <c r="AD22" s="3">
        <v>1</v>
      </c>
    </row>
    <row r="23" spans="1:30" s="3" customFormat="1" ht="48.6" x14ac:dyDescent="0.3">
      <c r="A23" s="35">
        <v>20</v>
      </c>
      <c r="B23" s="36" t="s">
        <v>14</v>
      </c>
      <c r="C23" s="36" t="s">
        <v>36</v>
      </c>
      <c r="D23" s="36" t="s">
        <v>30</v>
      </c>
      <c r="E23" s="37" t="s">
        <v>17</v>
      </c>
      <c r="F23" s="41">
        <v>49</v>
      </c>
      <c r="G23" s="41">
        <v>5</v>
      </c>
      <c r="H23" s="41">
        <v>1</v>
      </c>
      <c r="I23" s="41">
        <v>49</v>
      </c>
      <c r="J23" s="41"/>
      <c r="K23" s="41"/>
      <c r="L23" s="41">
        <v>1</v>
      </c>
      <c r="M23" s="41"/>
      <c r="N23" s="41"/>
      <c r="O23" s="43">
        <f t="shared" si="0"/>
        <v>56</v>
      </c>
      <c r="P23" s="41">
        <v>48</v>
      </c>
      <c r="Q23" s="41">
        <v>5</v>
      </c>
      <c r="R23" s="41">
        <f t="shared" si="4"/>
        <v>53</v>
      </c>
      <c r="S23" s="10">
        <v>49</v>
      </c>
      <c r="T23" s="30">
        <v>5</v>
      </c>
      <c r="U23" s="3">
        <v>1</v>
      </c>
      <c r="W23" s="3">
        <v>1</v>
      </c>
      <c r="Z23" s="13">
        <f t="shared" si="5"/>
        <v>7</v>
      </c>
      <c r="AA23" s="14">
        <f t="shared" si="6"/>
        <v>-1</v>
      </c>
      <c r="AB23" s="31">
        <f t="shared" si="7"/>
        <v>6</v>
      </c>
      <c r="AC23" s="3">
        <v>6</v>
      </c>
    </row>
    <row r="24" spans="1:30" s="3" customFormat="1" ht="48.6" x14ac:dyDescent="0.3">
      <c r="A24" s="35">
        <v>21</v>
      </c>
      <c r="B24" s="36" t="s">
        <v>14</v>
      </c>
      <c r="C24" s="36" t="s">
        <v>37</v>
      </c>
      <c r="D24" s="36" t="s">
        <v>30</v>
      </c>
      <c r="E24" s="37" t="s">
        <v>17</v>
      </c>
      <c r="F24" s="41">
        <v>20</v>
      </c>
      <c r="G24" s="41">
        <v>33</v>
      </c>
      <c r="H24" s="41"/>
      <c r="I24" s="41">
        <v>20</v>
      </c>
      <c r="J24" s="41"/>
      <c r="K24" s="41"/>
      <c r="L24" s="41"/>
      <c r="M24" s="41"/>
      <c r="N24" s="41"/>
      <c r="O24" s="43">
        <f t="shared" si="0"/>
        <v>53</v>
      </c>
      <c r="P24" s="41">
        <v>20</v>
      </c>
      <c r="Q24" s="41">
        <v>33</v>
      </c>
      <c r="R24" s="41">
        <f t="shared" si="4"/>
        <v>53</v>
      </c>
      <c r="S24" s="10"/>
      <c r="T24" s="30">
        <v>53</v>
      </c>
      <c r="U24" s="3">
        <v>0</v>
      </c>
      <c r="Z24" s="13">
        <f t="shared" si="5"/>
        <v>53</v>
      </c>
      <c r="AA24" s="14">
        <f t="shared" si="6"/>
        <v>0</v>
      </c>
      <c r="AB24" s="31">
        <f t="shared" si="7"/>
        <v>53</v>
      </c>
      <c r="AC24" s="3">
        <v>53</v>
      </c>
    </row>
    <row r="25" spans="1:30" s="3" customFormat="1" ht="48.6" x14ac:dyDescent="0.3">
      <c r="A25" s="35">
        <v>22</v>
      </c>
      <c r="B25" s="36" t="s">
        <v>14</v>
      </c>
      <c r="C25" s="36" t="s">
        <v>38</v>
      </c>
      <c r="D25" s="36" t="s">
        <v>30</v>
      </c>
      <c r="E25" s="37" t="s">
        <v>17</v>
      </c>
      <c r="F25" s="41">
        <v>6</v>
      </c>
      <c r="G25" s="41">
        <v>12</v>
      </c>
      <c r="H25" s="41"/>
      <c r="I25" s="41">
        <v>6</v>
      </c>
      <c r="J25" s="41"/>
      <c r="K25" s="41"/>
      <c r="L25" s="41"/>
      <c r="M25" s="41"/>
      <c r="N25" s="41"/>
      <c r="O25" s="43">
        <f t="shared" si="0"/>
        <v>18</v>
      </c>
      <c r="P25" s="41">
        <v>6</v>
      </c>
      <c r="Q25" s="41">
        <v>12</v>
      </c>
      <c r="R25" s="41">
        <f t="shared" si="4"/>
        <v>18</v>
      </c>
      <c r="S25" s="10"/>
      <c r="T25" s="30">
        <v>18</v>
      </c>
      <c r="U25" s="3">
        <v>0</v>
      </c>
      <c r="Z25" s="13">
        <f t="shared" si="5"/>
        <v>18</v>
      </c>
      <c r="AA25" s="14">
        <f t="shared" si="6"/>
        <v>0</v>
      </c>
      <c r="AB25" s="31">
        <f t="shared" si="7"/>
        <v>18</v>
      </c>
      <c r="AC25" s="3">
        <v>18</v>
      </c>
    </row>
    <row r="26" spans="1:30" s="3" customFormat="1" ht="48.6" x14ac:dyDescent="0.3">
      <c r="A26" s="35">
        <v>23</v>
      </c>
      <c r="B26" s="36" t="s">
        <v>14</v>
      </c>
      <c r="C26" s="36" t="s">
        <v>45</v>
      </c>
      <c r="D26" s="36" t="s">
        <v>30</v>
      </c>
      <c r="E26" s="37" t="s">
        <v>17</v>
      </c>
      <c r="F26" s="41"/>
      <c r="G26" s="41">
        <v>2</v>
      </c>
      <c r="H26" s="41"/>
      <c r="I26" s="41"/>
      <c r="J26" s="41"/>
      <c r="K26" s="41"/>
      <c r="L26" s="41"/>
      <c r="M26" s="41"/>
      <c r="N26" s="41"/>
      <c r="O26" s="43">
        <f t="shared" si="0"/>
        <v>2</v>
      </c>
      <c r="P26" s="41"/>
      <c r="Q26" s="41">
        <v>2</v>
      </c>
      <c r="R26" s="41">
        <f t="shared" si="4"/>
        <v>2</v>
      </c>
      <c r="S26" s="10"/>
      <c r="T26" s="30">
        <v>2</v>
      </c>
      <c r="U26" s="3">
        <v>0</v>
      </c>
      <c r="Z26" s="13">
        <f t="shared" si="5"/>
        <v>2</v>
      </c>
      <c r="AA26" s="14">
        <f t="shared" si="6"/>
        <v>0</v>
      </c>
      <c r="AB26" s="31">
        <f t="shared" si="7"/>
        <v>2</v>
      </c>
      <c r="AC26" s="3">
        <v>2</v>
      </c>
    </row>
    <row r="27" spans="1:30" s="3" customFormat="1" ht="48.6" x14ac:dyDescent="0.3">
      <c r="A27" s="35">
        <v>24</v>
      </c>
      <c r="B27" s="36" t="s">
        <v>14</v>
      </c>
      <c r="C27" s="36" t="s">
        <v>39</v>
      </c>
      <c r="D27" s="36" t="s">
        <v>30</v>
      </c>
      <c r="E27" s="37" t="s">
        <v>17</v>
      </c>
      <c r="F27" s="41">
        <v>2</v>
      </c>
      <c r="G27" s="41">
        <v>17</v>
      </c>
      <c r="H27" s="41"/>
      <c r="I27" s="41">
        <v>2</v>
      </c>
      <c r="J27" s="41"/>
      <c r="K27" s="41"/>
      <c r="L27" s="41"/>
      <c r="M27" s="41"/>
      <c r="N27" s="41"/>
      <c r="O27" s="43">
        <f t="shared" si="0"/>
        <v>19</v>
      </c>
      <c r="P27" s="41">
        <v>2</v>
      </c>
      <c r="Q27" s="41">
        <v>17</v>
      </c>
      <c r="R27" s="41">
        <f t="shared" si="4"/>
        <v>19</v>
      </c>
      <c r="S27" s="10"/>
      <c r="T27" s="30">
        <v>19</v>
      </c>
      <c r="U27" s="3">
        <v>0</v>
      </c>
      <c r="Z27" s="13">
        <f t="shared" si="5"/>
        <v>19</v>
      </c>
      <c r="AA27" s="14">
        <f t="shared" si="6"/>
        <v>0</v>
      </c>
      <c r="AB27" s="31">
        <f t="shared" si="7"/>
        <v>19</v>
      </c>
      <c r="AC27" s="3">
        <v>19</v>
      </c>
    </row>
    <row r="28" spans="1:30" s="3" customFormat="1" ht="48.6" x14ac:dyDescent="0.3">
      <c r="A28" s="35">
        <v>25</v>
      </c>
      <c r="B28" s="36" t="s">
        <v>14</v>
      </c>
      <c r="C28" s="36" t="s">
        <v>40</v>
      </c>
      <c r="D28" s="36" t="s">
        <v>30</v>
      </c>
      <c r="E28" s="37" t="s">
        <v>17</v>
      </c>
      <c r="F28" s="41">
        <v>2</v>
      </c>
      <c r="G28" s="41">
        <v>22</v>
      </c>
      <c r="H28" s="41">
        <v>1</v>
      </c>
      <c r="I28" s="41">
        <v>2</v>
      </c>
      <c r="J28" s="41"/>
      <c r="K28" s="41"/>
      <c r="L28" s="41"/>
      <c r="M28" s="41"/>
      <c r="N28" s="41"/>
      <c r="O28" s="43">
        <f t="shared" si="0"/>
        <v>25</v>
      </c>
      <c r="P28" s="41">
        <v>2</v>
      </c>
      <c r="Q28" s="41">
        <v>22</v>
      </c>
      <c r="R28" s="41">
        <f t="shared" si="4"/>
        <v>24</v>
      </c>
      <c r="S28" s="10"/>
      <c r="T28" s="30">
        <v>24</v>
      </c>
      <c r="U28" s="3">
        <v>0</v>
      </c>
      <c r="V28" s="3">
        <v>1</v>
      </c>
      <c r="Z28" s="13">
        <f t="shared" si="5"/>
        <v>25</v>
      </c>
      <c r="AA28" s="14">
        <f t="shared" si="6"/>
        <v>0</v>
      </c>
      <c r="AB28" s="31">
        <f t="shared" si="7"/>
        <v>25</v>
      </c>
      <c r="AC28" s="3">
        <v>24</v>
      </c>
      <c r="AD28" s="3">
        <v>1</v>
      </c>
    </row>
    <row r="29" spans="1:30" s="3" customFormat="1" ht="48.6" x14ac:dyDescent="0.3">
      <c r="A29" s="35">
        <v>26</v>
      </c>
      <c r="B29" s="36" t="s">
        <v>14</v>
      </c>
      <c r="C29" s="36" t="s">
        <v>57</v>
      </c>
      <c r="D29" s="36" t="s">
        <v>30</v>
      </c>
      <c r="E29" s="37" t="s">
        <v>17</v>
      </c>
      <c r="F29" s="41"/>
      <c r="G29" s="41">
        <v>4</v>
      </c>
      <c r="H29" s="41"/>
      <c r="I29" s="41"/>
      <c r="J29" s="41"/>
      <c r="K29" s="41"/>
      <c r="L29" s="41"/>
      <c r="M29" s="41"/>
      <c r="N29" s="41"/>
      <c r="O29" s="43">
        <f t="shared" si="0"/>
        <v>4</v>
      </c>
      <c r="P29" s="41"/>
      <c r="Q29" s="41">
        <v>4</v>
      </c>
      <c r="R29" s="41">
        <f t="shared" si="4"/>
        <v>4</v>
      </c>
      <c r="S29" s="10"/>
      <c r="T29" s="30">
        <v>4</v>
      </c>
      <c r="U29" s="3">
        <v>0</v>
      </c>
      <c r="Z29" s="13">
        <f t="shared" si="5"/>
        <v>4</v>
      </c>
      <c r="AA29" s="14">
        <f t="shared" si="6"/>
        <v>0</v>
      </c>
      <c r="AB29" s="31">
        <f t="shared" si="7"/>
        <v>4</v>
      </c>
      <c r="AC29" s="3">
        <v>4</v>
      </c>
    </row>
    <row r="30" spans="1:30" s="3" customFormat="1" ht="48.6" x14ac:dyDescent="0.3">
      <c r="A30" s="35">
        <v>27</v>
      </c>
      <c r="B30" s="36" t="s">
        <v>14</v>
      </c>
      <c r="C30" s="36" t="s">
        <v>58</v>
      </c>
      <c r="D30" s="36" t="s">
        <v>30</v>
      </c>
      <c r="E30" s="37" t="s">
        <v>17</v>
      </c>
      <c r="F30" s="41"/>
      <c r="G30" s="41">
        <v>6</v>
      </c>
      <c r="H30" s="41"/>
      <c r="I30" s="41"/>
      <c r="J30" s="41"/>
      <c r="K30" s="41"/>
      <c r="L30" s="41"/>
      <c r="M30" s="41"/>
      <c r="N30" s="41"/>
      <c r="O30" s="43">
        <f t="shared" si="0"/>
        <v>6</v>
      </c>
      <c r="P30" s="41"/>
      <c r="Q30" s="41">
        <v>6</v>
      </c>
      <c r="R30" s="41">
        <f t="shared" si="4"/>
        <v>6</v>
      </c>
      <c r="S30" s="10">
        <v>1</v>
      </c>
      <c r="T30" s="30">
        <v>5</v>
      </c>
      <c r="U30" s="3">
        <v>0</v>
      </c>
      <c r="Z30" s="13">
        <f t="shared" si="5"/>
        <v>5</v>
      </c>
      <c r="AA30" s="14">
        <f t="shared" si="6"/>
        <v>0</v>
      </c>
      <c r="AB30" s="31">
        <f t="shared" si="7"/>
        <v>5</v>
      </c>
      <c r="AC30" s="3">
        <v>5</v>
      </c>
    </row>
    <row r="31" spans="1:30" s="3" customFormat="1" ht="48.6" x14ac:dyDescent="0.3">
      <c r="A31" s="35">
        <v>28</v>
      </c>
      <c r="B31" s="36" t="s">
        <v>14</v>
      </c>
      <c r="C31" s="36" t="s">
        <v>59</v>
      </c>
      <c r="D31" s="36" t="s">
        <v>30</v>
      </c>
      <c r="E31" s="37" t="s">
        <v>17</v>
      </c>
      <c r="F31" s="41"/>
      <c r="G31" s="41">
        <v>5</v>
      </c>
      <c r="H31" s="41"/>
      <c r="I31" s="41"/>
      <c r="J31" s="41"/>
      <c r="K31" s="41"/>
      <c r="L31" s="41"/>
      <c r="M31" s="41"/>
      <c r="N31" s="41"/>
      <c r="O31" s="43">
        <f t="shared" si="0"/>
        <v>5</v>
      </c>
      <c r="P31" s="41"/>
      <c r="Q31" s="41">
        <v>5</v>
      </c>
      <c r="R31" s="41">
        <f t="shared" si="4"/>
        <v>5</v>
      </c>
      <c r="S31" s="10"/>
      <c r="T31" s="30">
        <v>5</v>
      </c>
      <c r="U31" s="3">
        <v>0</v>
      </c>
      <c r="Z31" s="13">
        <f t="shared" si="5"/>
        <v>5</v>
      </c>
      <c r="AA31" s="14">
        <f t="shared" si="6"/>
        <v>0</v>
      </c>
      <c r="AB31" s="31">
        <f t="shared" si="7"/>
        <v>5</v>
      </c>
      <c r="AC31" s="3">
        <v>5</v>
      </c>
    </row>
    <row r="32" spans="1:30" s="3" customFormat="1" ht="48.6" x14ac:dyDescent="0.3">
      <c r="A32" s="35">
        <v>29</v>
      </c>
      <c r="B32" s="36" t="s">
        <v>14</v>
      </c>
      <c r="C32" s="36" t="s">
        <v>29</v>
      </c>
      <c r="D32" s="36" t="s">
        <v>41</v>
      </c>
      <c r="E32" s="37" t="s">
        <v>17</v>
      </c>
      <c r="F32" s="41">
        <v>87</v>
      </c>
      <c r="G32" s="41">
        <v>46</v>
      </c>
      <c r="H32" s="41">
        <v>2</v>
      </c>
      <c r="I32" s="41">
        <v>88</v>
      </c>
      <c r="J32" s="41"/>
      <c r="K32" s="41"/>
      <c r="L32" s="41"/>
      <c r="M32" s="41"/>
      <c r="N32" s="41"/>
      <c r="O32" s="43">
        <f t="shared" si="0"/>
        <v>136</v>
      </c>
      <c r="P32" s="41">
        <v>86</v>
      </c>
      <c r="Q32" s="41">
        <v>55</v>
      </c>
      <c r="R32" s="41">
        <f t="shared" si="4"/>
        <v>141</v>
      </c>
      <c r="S32" s="10">
        <v>86</v>
      </c>
      <c r="T32" s="30">
        <v>47</v>
      </c>
      <c r="U32" s="3">
        <v>1</v>
      </c>
      <c r="V32" s="3">
        <v>2</v>
      </c>
      <c r="Z32" s="13">
        <f t="shared" si="5"/>
        <v>50</v>
      </c>
      <c r="AA32" s="14">
        <f t="shared" si="6"/>
        <v>0</v>
      </c>
      <c r="AB32" s="31">
        <f t="shared" si="7"/>
        <v>50</v>
      </c>
      <c r="AC32" s="3">
        <v>48</v>
      </c>
      <c r="AD32" s="3">
        <v>2</v>
      </c>
    </row>
    <row r="33" spans="1:31" s="3" customFormat="1" ht="48.6" x14ac:dyDescent="0.3">
      <c r="A33" s="35">
        <v>30</v>
      </c>
      <c r="B33" s="36" t="s">
        <v>14</v>
      </c>
      <c r="C33" s="36" t="s">
        <v>31</v>
      </c>
      <c r="D33" s="36" t="s">
        <v>41</v>
      </c>
      <c r="E33" s="37" t="s">
        <v>17</v>
      </c>
      <c r="F33" s="41">
        <v>166</v>
      </c>
      <c r="G33" s="41">
        <v>2</v>
      </c>
      <c r="H33" s="41"/>
      <c r="I33" s="41">
        <v>168</v>
      </c>
      <c r="J33" s="41"/>
      <c r="K33" s="41"/>
      <c r="L33" s="41"/>
      <c r="M33" s="41"/>
      <c r="N33" s="41"/>
      <c r="O33" s="43">
        <f t="shared" si="0"/>
        <v>170</v>
      </c>
      <c r="P33" s="41">
        <v>164</v>
      </c>
      <c r="Q33" s="41">
        <v>2</v>
      </c>
      <c r="R33" s="41">
        <f t="shared" si="4"/>
        <v>166</v>
      </c>
      <c r="S33" s="10">
        <v>22</v>
      </c>
      <c r="T33" s="30">
        <v>146</v>
      </c>
      <c r="U33" s="3">
        <v>4</v>
      </c>
      <c r="Z33" s="13">
        <f t="shared" si="5"/>
        <v>150</v>
      </c>
      <c r="AA33" s="14">
        <f t="shared" si="6"/>
        <v>0</v>
      </c>
      <c r="AB33" s="31">
        <f t="shared" si="7"/>
        <v>150</v>
      </c>
      <c r="AC33" s="3">
        <v>150</v>
      </c>
    </row>
    <row r="34" spans="1:31" s="3" customFormat="1" ht="48.6" x14ac:dyDescent="0.3">
      <c r="A34" s="35">
        <v>31</v>
      </c>
      <c r="B34" s="36" t="s">
        <v>14</v>
      </c>
      <c r="C34" s="36" t="s">
        <v>32</v>
      </c>
      <c r="D34" s="36" t="s">
        <v>41</v>
      </c>
      <c r="E34" s="37" t="s">
        <v>17</v>
      </c>
      <c r="F34" s="41">
        <v>267</v>
      </c>
      <c r="G34" s="41">
        <v>1</v>
      </c>
      <c r="H34" s="41">
        <v>23</v>
      </c>
      <c r="I34" s="41">
        <v>307</v>
      </c>
      <c r="J34" s="41"/>
      <c r="K34" s="41"/>
      <c r="L34" s="41"/>
      <c r="M34" s="41"/>
      <c r="N34" s="41"/>
      <c r="O34" s="43">
        <f t="shared" si="0"/>
        <v>331</v>
      </c>
      <c r="P34" s="41">
        <v>268</v>
      </c>
      <c r="Q34" s="41">
        <v>1</v>
      </c>
      <c r="R34" s="41">
        <f t="shared" si="4"/>
        <v>269</v>
      </c>
      <c r="S34" s="10">
        <v>43</v>
      </c>
      <c r="T34" s="30">
        <v>225</v>
      </c>
      <c r="U34" s="3">
        <v>33</v>
      </c>
      <c r="V34" s="3">
        <v>30</v>
      </c>
      <c r="Z34" s="13">
        <f t="shared" si="5"/>
        <v>288</v>
      </c>
      <c r="AA34" s="14">
        <f t="shared" si="6"/>
        <v>0</v>
      </c>
      <c r="AB34" s="31">
        <f t="shared" si="7"/>
        <v>288</v>
      </c>
      <c r="AC34" s="3">
        <v>258</v>
      </c>
      <c r="AD34" s="3">
        <v>30</v>
      </c>
    </row>
    <row r="35" spans="1:31" s="3" customFormat="1" ht="48.6" x14ac:dyDescent="0.3">
      <c r="A35" s="35">
        <v>32</v>
      </c>
      <c r="B35" s="36" t="s">
        <v>14</v>
      </c>
      <c r="C35" s="36" t="s">
        <v>33</v>
      </c>
      <c r="D35" s="36" t="s">
        <v>41</v>
      </c>
      <c r="E35" s="37" t="s">
        <v>17</v>
      </c>
      <c r="F35" s="41">
        <v>102</v>
      </c>
      <c r="G35" s="41"/>
      <c r="H35" s="41">
        <v>1</v>
      </c>
      <c r="I35" s="41">
        <v>107</v>
      </c>
      <c r="J35" s="41"/>
      <c r="K35" s="41"/>
      <c r="L35" s="41">
        <v>3</v>
      </c>
      <c r="M35" s="41"/>
      <c r="N35" s="41"/>
      <c r="O35" s="43">
        <f t="shared" si="0"/>
        <v>111</v>
      </c>
      <c r="P35" s="41">
        <v>92</v>
      </c>
      <c r="Q35" s="41"/>
      <c r="R35" s="41">
        <f t="shared" si="4"/>
        <v>92</v>
      </c>
      <c r="S35" s="10">
        <v>43</v>
      </c>
      <c r="T35" s="30">
        <v>59</v>
      </c>
      <c r="U35" s="3">
        <v>15</v>
      </c>
      <c r="Z35" s="13">
        <f t="shared" si="5"/>
        <v>74</v>
      </c>
      <c r="AA35" s="14">
        <f t="shared" si="6"/>
        <v>0</v>
      </c>
      <c r="AB35" s="31">
        <f t="shared" si="7"/>
        <v>74</v>
      </c>
      <c r="AC35" s="3">
        <v>74</v>
      </c>
    </row>
    <row r="36" spans="1:31" s="3" customFormat="1" ht="48.6" x14ac:dyDescent="0.3">
      <c r="A36" s="35">
        <v>33</v>
      </c>
      <c r="B36" s="36" t="s">
        <v>14</v>
      </c>
      <c r="C36" s="36" t="s">
        <v>34</v>
      </c>
      <c r="D36" s="36" t="s">
        <v>41</v>
      </c>
      <c r="E36" s="37" t="s">
        <v>17</v>
      </c>
      <c r="F36" s="41">
        <v>245</v>
      </c>
      <c r="G36" s="41">
        <v>107</v>
      </c>
      <c r="H36" s="41">
        <v>6</v>
      </c>
      <c r="I36" s="41">
        <v>262</v>
      </c>
      <c r="J36" s="41">
        <v>14</v>
      </c>
      <c r="K36" s="41"/>
      <c r="L36" s="41"/>
      <c r="M36" s="41">
        <v>2</v>
      </c>
      <c r="N36" s="41"/>
      <c r="O36" s="43">
        <f t="shared" ref="O36:O67" si="8">SUM(G36:N36)</f>
        <v>391</v>
      </c>
      <c r="P36" s="41">
        <v>240</v>
      </c>
      <c r="Q36" s="41">
        <v>137</v>
      </c>
      <c r="R36" s="41">
        <f t="shared" si="4"/>
        <v>377</v>
      </c>
      <c r="S36" s="10">
        <v>111</v>
      </c>
      <c r="T36" s="30">
        <v>241</v>
      </c>
      <c r="U36" s="3">
        <v>19</v>
      </c>
      <c r="V36" s="3">
        <v>18</v>
      </c>
      <c r="X36" s="3">
        <v>2</v>
      </c>
      <c r="Z36" s="13">
        <f t="shared" si="5"/>
        <v>280</v>
      </c>
      <c r="AA36" s="14">
        <f t="shared" si="6"/>
        <v>0</v>
      </c>
      <c r="AB36" s="31">
        <f t="shared" si="7"/>
        <v>280</v>
      </c>
      <c r="AC36" s="3">
        <v>260</v>
      </c>
      <c r="AD36" s="3">
        <v>18</v>
      </c>
      <c r="AE36" s="3">
        <v>2</v>
      </c>
    </row>
    <row r="37" spans="1:31" s="3" customFormat="1" ht="48.6" x14ac:dyDescent="0.3">
      <c r="A37" s="35">
        <v>34</v>
      </c>
      <c r="B37" s="36" t="s">
        <v>14</v>
      </c>
      <c r="C37" s="36" t="s">
        <v>42</v>
      </c>
      <c r="D37" s="36" t="s">
        <v>41</v>
      </c>
      <c r="E37" s="37" t="s">
        <v>17</v>
      </c>
      <c r="F37" s="41">
        <v>8</v>
      </c>
      <c r="G37" s="41">
        <v>75</v>
      </c>
      <c r="H37" s="41"/>
      <c r="I37" s="41">
        <v>8</v>
      </c>
      <c r="J37" s="41"/>
      <c r="K37" s="41"/>
      <c r="L37" s="41"/>
      <c r="M37" s="41"/>
      <c r="N37" s="41"/>
      <c r="O37" s="43">
        <f t="shared" si="8"/>
        <v>83</v>
      </c>
      <c r="P37" s="41">
        <v>8</v>
      </c>
      <c r="Q37" s="41">
        <v>93</v>
      </c>
      <c r="R37" s="41">
        <f t="shared" si="4"/>
        <v>101</v>
      </c>
      <c r="S37" s="10"/>
      <c r="T37" s="30">
        <v>83</v>
      </c>
      <c r="U37" s="3">
        <v>0</v>
      </c>
      <c r="Z37" s="13">
        <f t="shared" si="5"/>
        <v>83</v>
      </c>
      <c r="AA37" s="14">
        <f t="shared" si="6"/>
        <v>0</v>
      </c>
      <c r="AB37" s="31">
        <f t="shared" si="7"/>
        <v>83</v>
      </c>
      <c r="AC37" s="3">
        <v>83</v>
      </c>
    </row>
    <row r="38" spans="1:31" s="3" customFormat="1" ht="48.6" x14ac:dyDescent="0.3">
      <c r="A38" s="35">
        <v>35</v>
      </c>
      <c r="B38" s="36" t="s">
        <v>14</v>
      </c>
      <c r="C38" s="36" t="s">
        <v>43</v>
      </c>
      <c r="D38" s="36" t="s">
        <v>41</v>
      </c>
      <c r="E38" s="37" t="s">
        <v>17</v>
      </c>
      <c r="F38" s="41">
        <v>5</v>
      </c>
      <c r="G38" s="41"/>
      <c r="H38" s="41"/>
      <c r="I38" s="41">
        <v>5</v>
      </c>
      <c r="J38" s="41"/>
      <c r="K38" s="41"/>
      <c r="L38" s="41"/>
      <c r="M38" s="41"/>
      <c r="N38" s="41"/>
      <c r="O38" s="43">
        <f t="shared" si="8"/>
        <v>5</v>
      </c>
      <c r="P38" s="41">
        <v>5</v>
      </c>
      <c r="Q38" s="41"/>
      <c r="R38" s="41">
        <f t="shared" si="4"/>
        <v>5</v>
      </c>
      <c r="S38" s="10">
        <v>5</v>
      </c>
      <c r="T38" s="30">
        <v>0</v>
      </c>
      <c r="U38" s="3">
        <v>0</v>
      </c>
      <c r="Z38" s="13">
        <f t="shared" si="5"/>
        <v>0</v>
      </c>
      <c r="AA38" s="14">
        <f t="shared" si="6"/>
        <v>0</v>
      </c>
      <c r="AB38" s="31">
        <f t="shared" si="7"/>
        <v>0</v>
      </c>
    </row>
    <row r="39" spans="1:31" s="3" customFormat="1" ht="48.6" x14ac:dyDescent="0.3">
      <c r="A39" s="35">
        <v>36</v>
      </c>
      <c r="B39" s="36" t="s">
        <v>14</v>
      </c>
      <c r="C39" s="36" t="s">
        <v>35</v>
      </c>
      <c r="D39" s="36" t="s">
        <v>41</v>
      </c>
      <c r="E39" s="37" t="s">
        <v>17</v>
      </c>
      <c r="F39" s="41">
        <v>223</v>
      </c>
      <c r="G39" s="41">
        <v>27</v>
      </c>
      <c r="H39" s="41">
        <v>9</v>
      </c>
      <c r="I39" s="41">
        <v>247</v>
      </c>
      <c r="J39" s="41">
        <v>5</v>
      </c>
      <c r="K39" s="41"/>
      <c r="L39" s="41"/>
      <c r="M39" s="41">
        <v>8</v>
      </c>
      <c r="N39" s="41"/>
      <c r="O39" s="43">
        <f t="shared" si="8"/>
        <v>296</v>
      </c>
      <c r="P39" s="41">
        <v>229</v>
      </c>
      <c r="Q39" s="41">
        <v>27</v>
      </c>
      <c r="R39" s="41">
        <f t="shared" si="4"/>
        <v>256</v>
      </c>
      <c r="S39" s="10">
        <v>39</v>
      </c>
      <c r="T39" s="30">
        <v>211</v>
      </c>
      <c r="U39" s="3">
        <v>16</v>
      </c>
      <c r="V39" s="3">
        <v>22</v>
      </c>
      <c r="X39" s="3">
        <v>8</v>
      </c>
      <c r="Z39" s="13">
        <f t="shared" si="5"/>
        <v>257</v>
      </c>
      <c r="AA39" s="14">
        <f t="shared" si="6"/>
        <v>0</v>
      </c>
      <c r="AB39" s="31">
        <f t="shared" si="7"/>
        <v>257</v>
      </c>
      <c r="AC39" s="3">
        <v>227</v>
      </c>
      <c r="AD39" s="3">
        <v>22</v>
      </c>
      <c r="AE39" s="3">
        <v>8</v>
      </c>
    </row>
    <row r="40" spans="1:31" s="3" customFormat="1" ht="48.6" x14ac:dyDescent="0.3">
      <c r="A40" s="35">
        <v>37</v>
      </c>
      <c r="B40" s="36" t="s">
        <v>14</v>
      </c>
      <c r="C40" s="36" t="s">
        <v>36</v>
      </c>
      <c r="D40" s="36" t="s">
        <v>41</v>
      </c>
      <c r="E40" s="37" t="s">
        <v>17</v>
      </c>
      <c r="F40" s="41">
        <v>182</v>
      </c>
      <c r="G40" s="41">
        <v>50</v>
      </c>
      <c r="H40" s="41">
        <v>6</v>
      </c>
      <c r="I40" s="41">
        <v>178</v>
      </c>
      <c r="J40" s="41">
        <v>14</v>
      </c>
      <c r="K40" s="41"/>
      <c r="L40" s="41">
        <v>8</v>
      </c>
      <c r="M40" s="41">
        <v>6</v>
      </c>
      <c r="N40" s="41">
        <v>34</v>
      </c>
      <c r="O40" s="43">
        <f t="shared" si="8"/>
        <v>296</v>
      </c>
      <c r="P40" s="41">
        <v>179</v>
      </c>
      <c r="Q40" s="41">
        <v>50</v>
      </c>
      <c r="R40" s="41">
        <f t="shared" si="4"/>
        <v>229</v>
      </c>
      <c r="S40" s="10">
        <v>232</v>
      </c>
      <c r="T40" s="30">
        <v>0</v>
      </c>
      <c r="U40" s="3">
        <v>1</v>
      </c>
      <c r="V40" s="3">
        <v>15</v>
      </c>
      <c r="X40" s="3">
        <v>14</v>
      </c>
      <c r="Y40" s="3">
        <v>34</v>
      </c>
      <c r="Z40" s="13">
        <f t="shared" si="5"/>
        <v>64</v>
      </c>
      <c r="AA40" s="14">
        <f t="shared" si="6"/>
        <v>0</v>
      </c>
      <c r="AB40" s="31">
        <f t="shared" si="7"/>
        <v>64</v>
      </c>
      <c r="AC40" s="3">
        <v>1</v>
      </c>
      <c r="AD40" s="3">
        <v>15</v>
      </c>
      <c r="AE40" s="3">
        <v>48</v>
      </c>
    </row>
    <row r="41" spans="1:31" s="3" customFormat="1" ht="48.6" x14ac:dyDescent="0.3">
      <c r="A41" s="35">
        <v>38</v>
      </c>
      <c r="B41" s="36" t="s">
        <v>14</v>
      </c>
      <c r="C41" s="36" t="s">
        <v>44</v>
      </c>
      <c r="D41" s="36" t="s">
        <v>41</v>
      </c>
      <c r="E41" s="37" t="s">
        <v>17</v>
      </c>
      <c r="F41" s="41">
        <v>8</v>
      </c>
      <c r="G41" s="41"/>
      <c r="H41" s="41"/>
      <c r="I41" s="41">
        <v>8</v>
      </c>
      <c r="J41" s="41"/>
      <c r="K41" s="41"/>
      <c r="L41" s="41"/>
      <c r="M41" s="41"/>
      <c r="N41" s="41"/>
      <c r="O41" s="43">
        <f t="shared" si="8"/>
        <v>8</v>
      </c>
      <c r="P41" s="41">
        <v>8</v>
      </c>
      <c r="Q41" s="41"/>
      <c r="R41" s="41">
        <f t="shared" si="4"/>
        <v>8</v>
      </c>
      <c r="S41" s="10"/>
      <c r="T41" s="30">
        <v>8</v>
      </c>
      <c r="U41" s="3">
        <v>0</v>
      </c>
      <c r="Z41" s="13">
        <f t="shared" si="5"/>
        <v>8</v>
      </c>
      <c r="AA41" s="14">
        <f t="shared" si="6"/>
        <v>0</v>
      </c>
      <c r="AB41" s="31">
        <f t="shared" si="7"/>
        <v>8</v>
      </c>
      <c r="AC41" s="3">
        <v>8</v>
      </c>
    </row>
    <row r="42" spans="1:31" s="3" customFormat="1" ht="48.6" x14ac:dyDescent="0.3">
      <c r="A42" s="35">
        <v>39</v>
      </c>
      <c r="B42" s="36" t="s">
        <v>14</v>
      </c>
      <c r="C42" s="36" t="s">
        <v>37</v>
      </c>
      <c r="D42" s="36" t="s">
        <v>41</v>
      </c>
      <c r="E42" s="37" t="s">
        <v>17</v>
      </c>
      <c r="F42" s="41">
        <v>131</v>
      </c>
      <c r="G42" s="41">
        <v>32</v>
      </c>
      <c r="H42" s="41"/>
      <c r="I42" s="41">
        <v>129</v>
      </c>
      <c r="J42" s="41">
        <v>9</v>
      </c>
      <c r="K42" s="41"/>
      <c r="L42" s="41"/>
      <c r="M42" s="41"/>
      <c r="N42" s="41"/>
      <c r="O42" s="43">
        <f t="shared" si="8"/>
        <v>170</v>
      </c>
      <c r="P42" s="41">
        <v>127</v>
      </c>
      <c r="Q42" s="41">
        <v>32</v>
      </c>
      <c r="R42" s="41">
        <f t="shared" si="4"/>
        <v>159</v>
      </c>
      <c r="S42" s="10">
        <v>24</v>
      </c>
      <c r="T42" s="30">
        <v>139</v>
      </c>
      <c r="U42" s="3">
        <v>2</v>
      </c>
      <c r="V42" s="3">
        <v>5</v>
      </c>
      <c r="Z42" s="13">
        <f t="shared" si="5"/>
        <v>146</v>
      </c>
      <c r="AA42" s="14">
        <f t="shared" si="6"/>
        <v>0</v>
      </c>
      <c r="AB42" s="31">
        <f t="shared" si="7"/>
        <v>146</v>
      </c>
      <c r="AC42" s="3">
        <v>141</v>
      </c>
      <c r="AD42" s="3">
        <v>5</v>
      </c>
    </row>
    <row r="43" spans="1:31" s="3" customFormat="1" ht="48.6" x14ac:dyDescent="0.3">
      <c r="A43" s="35">
        <v>40</v>
      </c>
      <c r="B43" s="36" t="s">
        <v>14</v>
      </c>
      <c r="C43" s="36" t="s">
        <v>38</v>
      </c>
      <c r="D43" s="36" t="s">
        <v>41</v>
      </c>
      <c r="E43" s="37" t="s">
        <v>17</v>
      </c>
      <c r="F43" s="41">
        <v>47</v>
      </c>
      <c r="G43" s="41">
        <v>12</v>
      </c>
      <c r="H43" s="41"/>
      <c r="I43" s="41">
        <v>48</v>
      </c>
      <c r="J43" s="41">
        <v>4</v>
      </c>
      <c r="K43" s="41"/>
      <c r="L43" s="41"/>
      <c r="M43" s="41"/>
      <c r="N43" s="41"/>
      <c r="O43" s="43">
        <f t="shared" si="8"/>
        <v>64</v>
      </c>
      <c r="P43" s="41">
        <v>47</v>
      </c>
      <c r="Q43" s="41">
        <v>12</v>
      </c>
      <c r="R43" s="41">
        <f t="shared" si="4"/>
        <v>59</v>
      </c>
      <c r="S43" s="10">
        <v>30</v>
      </c>
      <c r="T43" s="30">
        <v>29</v>
      </c>
      <c r="U43" s="3">
        <v>1</v>
      </c>
      <c r="V43" s="3">
        <v>4</v>
      </c>
      <c r="Z43" s="13">
        <f t="shared" si="5"/>
        <v>34</v>
      </c>
      <c r="AA43" s="14">
        <f t="shared" si="6"/>
        <v>0</v>
      </c>
      <c r="AB43" s="31">
        <f t="shared" si="7"/>
        <v>34</v>
      </c>
      <c r="AC43" s="3">
        <v>30</v>
      </c>
      <c r="AD43" s="3">
        <v>4</v>
      </c>
    </row>
    <row r="44" spans="1:31" s="3" customFormat="1" ht="48.6" x14ac:dyDescent="0.3">
      <c r="A44" s="35">
        <v>41</v>
      </c>
      <c r="B44" s="36" t="s">
        <v>14</v>
      </c>
      <c r="C44" s="36" t="s">
        <v>45</v>
      </c>
      <c r="D44" s="36" t="s">
        <v>41</v>
      </c>
      <c r="E44" s="37" t="s">
        <v>17</v>
      </c>
      <c r="F44" s="41">
        <v>18</v>
      </c>
      <c r="G44" s="41"/>
      <c r="H44" s="41"/>
      <c r="I44" s="41">
        <v>18</v>
      </c>
      <c r="J44" s="41"/>
      <c r="K44" s="41"/>
      <c r="L44" s="41"/>
      <c r="M44" s="41"/>
      <c r="N44" s="41"/>
      <c r="O44" s="43">
        <f t="shared" si="8"/>
        <v>18</v>
      </c>
      <c r="P44" s="41">
        <v>18</v>
      </c>
      <c r="Q44" s="41"/>
      <c r="R44" s="41">
        <f t="shared" si="4"/>
        <v>18</v>
      </c>
      <c r="S44" s="10">
        <v>4</v>
      </c>
      <c r="T44" s="30">
        <v>14</v>
      </c>
      <c r="U44" s="3">
        <v>0</v>
      </c>
      <c r="Z44" s="13">
        <f t="shared" si="5"/>
        <v>14</v>
      </c>
      <c r="AA44" s="14">
        <f t="shared" si="6"/>
        <v>0</v>
      </c>
      <c r="AB44" s="31">
        <f t="shared" si="7"/>
        <v>14</v>
      </c>
      <c r="AC44" s="3">
        <v>14</v>
      </c>
    </row>
    <row r="45" spans="1:31" s="3" customFormat="1" ht="48.6" x14ac:dyDescent="0.3">
      <c r="A45" s="35">
        <v>42</v>
      </c>
      <c r="B45" s="36" t="s">
        <v>14</v>
      </c>
      <c r="C45" s="36" t="s">
        <v>39</v>
      </c>
      <c r="D45" s="36" t="s">
        <v>41</v>
      </c>
      <c r="E45" s="37" t="s">
        <v>17</v>
      </c>
      <c r="F45" s="41">
        <v>4</v>
      </c>
      <c r="G45" s="41"/>
      <c r="H45" s="41"/>
      <c r="I45" s="41">
        <v>4</v>
      </c>
      <c r="J45" s="41"/>
      <c r="K45" s="41"/>
      <c r="L45" s="41"/>
      <c r="M45" s="41"/>
      <c r="N45" s="41"/>
      <c r="O45" s="43">
        <f t="shared" si="8"/>
        <v>4</v>
      </c>
      <c r="P45" s="41">
        <v>4</v>
      </c>
      <c r="Q45" s="41"/>
      <c r="R45" s="41">
        <f t="shared" si="4"/>
        <v>4</v>
      </c>
      <c r="S45" s="10">
        <v>1</v>
      </c>
      <c r="T45" s="30">
        <v>3</v>
      </c>
      <c r="U45" s="3">
        <v>0</v>
      </c>
      <c r="Z45" s="13">
        <f t="shared" si="5"/>
        <v>3</v>
      </c>
      <c r="AA45" s="14">
        <f t="shared" si="6"/>
        <v>0</v>
      </c>
      <c r="AB45" s="31">
        <f t="shared" si="7"/>
        <v>3</v>
      </c>
      <c r="AC45" s="3">
        <v>3</v>
      </c>
    </row>
    <row r="46" spans="1:31" s="3" customFormat="1" ht="48.6" x14ac:dyDescent="0.3">
      <c r="A46" s="35">
        <v>43</v>
      </c>
      <c r="B46" s="36" t="s">
        <v>14</v>
      </c>
      <c r="C46" s="36" t="s">
        <v>40</v>
      </c>
      <c r="D46" s="36" t="s">
        <v>41</v>
      </c>
      <c r="E46" s="37" t="s">
        <v>17</v>
      </c>
      <c r="F46" s="41">
        <v>10</v>
      </c>
      <c r="G46" s="41"/>
      <c r="H46" s="41"/>
      <c r="I46" s="41">
        <v>10</v>
      </c>
      <c r="J46" s="41"/>
      <c r="K46" s="41"/>
      <c r="L46" s="41"/>
      <c r="M46" s="41"/>
      <c r="N46" s="41"/>
      <c r="O46" s="43">
        <f t="shared" si="8"/>
        <v>10</v>
      </c>
      <c r="P46" s="41">
        <v>10</v>
      </c>
      <c r="Q46" s="41"/>
      <c r="R46" s="41">
        <f t="shared" si="4"/>
        <v>10</v>
      </c>
      <c r="S46" s="10"/>
      <c r="T46" s="30">
        <v>10</v>
      </c>
      <c r="U46" s="3">
        <v>0</v>
      </c>
      <c r="Z46" s="13">
        <f t="shared" si="5"/>
        <v>10</v>
      </c>
      <c r="AA46" s="14">
        <f t="shared" si="6"/>
        <v>0</v>
      </c>
      <c r="AB46" s="31">
        <f t="shared" si="7"/>
        <v>10</v>
      </c>
      <c r="AC46" s="3">
        <v>10</v>
      </c>
    </row>
    <row r="47" spans="1:31" s="3" customFormat="1" ht="32.4" x14ac:dyDescent="0.3">
      <c r="A47" s="35">
        <v>44</v>
      </c>
      <c r="B47" s="36" t="s">
        <v>14</v>
      </c>
      <c r="C47" s="36" t="s">
        <v>46</v>
      </c>
      <c r="D47" s="36" t="s">
        <v>47</v>
      </c>
      <c r="E47" s="37" t="s">
        <v>17</v>
      </c>
      <c r="F47" s="41">
        <v>2</v>
      </c>
      <c r="G47" s="41"/>
      <c r="H47" s="41"/>
      <c r="I47" s="41">
        <v>2</v>
      </c>
      <c r="J47" s="41"/>
      <c r="K47" s="41"/>
      <c r="L47" s="41"/>
      <c r="M47" s="41"/>
      <c r="N47" s="41"/>
      <c r="O47" s="43">
        <f t="shared" si="8"/>
        <v>2</v>
      </c>
      <c r="P47" s="41">
        <v>2</v>
      </c>
      <c r="Q47" s="41"/>
      <c r="R47" s="41">
        <f t="shared" si="4"/>
        <v>2</v>
      </c>
      <c r="S47" s="10"/>
      <c r="T47" s="30">
        <v>2</v>
      </c>
      <c r="U47" s="3">
        <v>0</v>
      </c>
      <c r="Z47" s="13">
        <f t="shared" si="5"/>
        <v>2</v>
      </c>
      <c r="AA47" s="14">
        <f t="shared" si="6"/>
        <v>0</v>
      </c>
      <c r="AB47" s="31">
        <f t="shared" si="7"/>
        <v>2</v>
      </c>
      <c r="AC47" s="3">
        <v>2</v>
      </c>
    </row>
    <row r="48" spans="1:31" s="3" customFormat="1" ht="32.4" x14ac:dyDescent="0.3">
      <c r="A48" s="35">
        <v>45</v>
      </c>
      <c r="B48" s="36" t="s">
        <v>14</v>
      </c>
      <c r="C48" s="36" t="s">
        <v>48</v>
      </c>
      <c r="D48" s="36" t="s">
        <v>47</v>
      </c>
      <c r="E48" s="37" t="s">
        <v>17</v>
      </c>
      <c r="F48" s="41">
        <v>2</v>
      </c>
      <c r="G48" s="41"/>
      <c r="H48" s="41"/>
      <c r="I48" s="41">
        <v>4</v>
      </c>
      <c r="J48" s="41"/>
      <c r="K48" s="41"/>
      <c r="L48" s="41"/>
      <c r="M48" s="41"/>
      <c r="N48" s="41"/>
      <c r="O48" s="43">
        <f t="shared" si="8"/>
        <v>4</v>
      </c>
      <c r="P48" s="41">
        <v>2</v>
      </c>
      <c r="Q48" s="41"/>
      <c r="R48" s="41">
        <f t="shared" si="4"/>
        <v>2</v>
      </c>
      <c r="S48" s="10"/>
      <c r="T48" s="30">
        <v>2</v>
      </c>
      <c r="U48" s="3">
        <v>0</v>
      </c>
      <c r="V48" s="3">
        <v>2</v>
      </c>
      <c r="Z48" s="13">
        <f t="shared" si="5"/>
        <v>4</v>
      </c>
      <c r="AA48" s="14">
        <f t="shared" si="6"/>
        <v>0</v>
      </c>
      <c r="AB48" s="31">
        <f t="shared" si="7"/>
        <v>4</v>
      </c>
      <c r="AC48" s="3">
        <v>2</v>
      </c>
      <c r="AD48" s="3">
        <v>2</v>
      </c>
    </row>
    <row r="49" spans="1:30" s="3" customFormat="1" ht="32.4" x14ac:dyDescent="0.3">
      <c r="A49" s="35">
        <v>46</v>
      </c>
      <c r="B49" s="36" t="s">
        <v>14</v>
      </c>
      <c r="C49" s="36" t="s">
        <v>49</v>
      </c>
      <c r="D49" s="36" t="s">
        <v>47</v>
      </c>
      <c r="E49" s="37" t="s">
        <v>17</v>
      </c>
      <c r="F49" s="41">
        <v>4</v>
      </c>
      <c r="G49" s="41"/>
      <c r="H49" s="41"/>
      <c r="I49" s="41">
        <v>4</v>
      </c>
      <c r="J49" s="41"/>
      <c r="K49" s="41"/>
      <c r="L49" s="41"/>
      <c r="M49" s="41"/>
      <c r="N49" s="41"/>
      <c r="O49" s="43">
        <f t="shared" si="8"/>
        <v>4</v>
      </c>
      <c r="P49" s="41">
        <v>4</v>
      </c>
      <c r="Q49" s="41"/>
      <c r="R49" s="41">
        <f t="shared" si="4"/>
        <v>4</v>
      </c>
      <c r="S49" s="10"/>
      <c r="T49" s="30">
        <v>4</v>
      </c>
      <c r="U49" s="3">
        <v>0</v>
      </c>
      <c r="Z49" s="13">
        <f t="shared" si="5"/>
        <v>4</v>
      </c>
      <c r="AA49" s="14">
        <f t="shared" si="6"/>
        <v>0</v>
      </c>
      <c r="AB49" s="31">
        <f t="shared" si="7"/>
        <v>4</v>
      </c>
      <c r="AC49" s="3">
        <v>4</v>
      </c>
    </row>
    <row r="50" spans="1:30" s="3" customFormat="1" ht="32.4" x14ac:dyDescent="0.3">
      <c r="A50" s="35">
        <v>47</v>
      </c>
      <c r="B50" s="36" t="s">
        <v>14</v>
      </c>
      <c r="C50" s="36" t="s">
        <v>50</v>
      </c>
      <c r="D50" s="36" t="s">
        <v>47</v>
      </c>
      <c r="E50" s="37" t="s">
        <v>17</v>
      </c>
      <c r="F50" s="41">
        <v>1</v>
      </c>
      <c r="G50" s="41"/>
      <c r="H50" s="41"/>
      <c r="I50" s="41">
        <v>1</v>
      </c>
      <c r="J50" s="41"/>
      <c r="K50" s="41"/>
      <c r="L50" s="41"/>
      <c r="M50" s="41"/>
      <c r="N50" s="41"/>
      <c r="O50" s="43">
        <f t="shared" si="8"/>
        <v>1</v>
      </c>
      <c r="P50" s="41">
        <v>1</v>
      </c>
      <c r="Q50" s="41"/>
      <c r="R50" s="41">
        <f t="shared" si="4"/>
        <v>1</v>
      </c>
      <c r="S50" s="10"/>
      <c r="T50" s="30">
        <v>1</v>
      </c>
      <c r="U50" s="3">
        <v>0</v>
      </c>
      <c r="Z50" s="13">
        <f t="shared" si="5"/>
        <v>1</v>
      </c>
      <c r="AA50" s="14">
        <f t="shared" si="6"/>
        <v>0</v>
      </c>
      <c r="AB50" s="31">
        <f t="shared" si="7"/>
        <v>1</v>
      </c>
      <c r="AC50" s="3">
        <v>1</v>
      </c>
    </row>
    <row r="51" spans="1:30" s="3" customFormat="1" ht="32.4" x14ac:dyDescent="0.3">
      <c r="A51" s="35">
        <v>48</v>
      </c>
      <c r="B51" s="36" t="s">
        <v>14</v>
      </c>
      <c r="C51" s="36" t="s">
        <v>51</v>
      </c>
      <c r="D51" s="36" t="s">
        <v>47</v>
      </c>
      <c r="E51" s="37" t="s">
        <v>17</v>
      </c>
      <c r="F51" s="41">
        <v>1</v>
      </c>
      <c r="G51" s="41"/>
      <c r="H51" s="41"/>
      <c r="I51" s="41">
        <v>1</v>
      </c>
      <c r="J51" s="41"/>
      <c r="K51" s="41"/>
      <c r="L51" s="41"/>
      <c r="M51" s="41"/>
      <c r="N51" s="41"/>
      <c r="O51" s="43">
        <f t="shared" si="8"/>
        <v>1</v>
      </c>
      <c r="P51" s="41">
        <v>1</v>
      </c>
      <c r="Q51" s="41"/>
      <c r="R51" s="41">
        <f t="shared" si="4"/>
        <v>1</v>
      </c>
      <c r="S51" s="10">
        <v>1</v>
      </c>
      <c r="T51" s="30">
        <v>0</v>
      </c>
      <c r="U51" s="3">
        <v>0</v>
      </c>
      <c r="Z51" s="13">
        <f t="shared" si="5"/>
        <v>0</v>
      </c>
      <c r="AA51" s="14">
        <f t="shared" si="6"/>
        <v>0</v>
      </c>
      <c r="AB51" s="31">
        <f t="shared" si="7"/>
        <v>0</v>
      </c>
    </row>
    <row r="52" spans="1:30" s="3" customFormat="1" ht="32.4" x14ac:dyDescent="0.3">
      <c r="A52" s="35">
        <v>49</v>
      </c>
      <c r="B52" s="36" t="s">
        <v>14</v>
      </c>
      <c r="C52" s="36" t="s">
        <v>52</v>
      </c>
      <c r="D52" s="36" t="s">
        <v>47</v>
      </c>
      <c r="E52" s="37" t="s">
        <v>17</v>
      </c>
      <c r="F52" s="41">
        <v>1</v>
      </c>
      <c r="G52" s="41"/>
      <c r="H52" s="41"/>
      <c r="I52" s="41">
        <v>1</v>
      </c>
      <c r="J52" s="41"/>
      <c r="K52" s="41"/>
      <c r="L52" s="41"/>
      <c r="M52" s="41"/>
      <c r="N52" s="41"/>
      <c r="O52" s="43">
        <f t="shared" si="8"/>
        <v>1</v>
      </c>
      <c r="P52" s="41">
        <v>1</v>
      </c>
      <c r="Q52" s="41"/>
      <c r="R52" s="41">
        <f t="shared" si="4"/>
        <v>1</v>
      </c>
      <c r="S52" s="10">
        <v>1</v>
      </c>
      <c r="T52" s="30">
        <v>0</v>
      </c>
      <c r="U52" s="3">
        <v>0</v>
      </c>
      <c r="Z52" s="13">
        <f t="shared" si="5"/>
        <v>0</v>
      </c>
      <c r="AA52" s="14">
        <f t="shared" si="6"/>
        <v>0</v>
      </c>
      <c r="AB52" s="31">
        <f t="shared" si="7"/>
        <v>0</v>
      </c>
    </row>
    <row r="53" spans="1:30" s="3" customFormat="1" ht="32.4" x14ac:dyDescent="0.3">
      <c r="A53" s="35">
        <v>50</v>
      </c>
      <c r="B53" s="36" t="s">
        <v>14</v>
      </c>
      <c r="C53" s="36" t="s">
        <v>53</v>
      </c>
      <c r="D53" s="36" t="s">
        <v>47</v>
      </c>
      <c r="E53" s="37" t="s">
        <v>17</v>
      </c>
      <c r="F53" s="41">
        <v>1</v>
      </c>
      <c r="G53" s="41"/>
      <c r="H53" s="41"/>
      <c r="I53" s="41">
        <v>1</v>
      </c>
      <c r="J53" s="41"/>
      <c r="K53" s="41"/>
      <c r="L53" s="41"/>
      <c r="M53" s="41"/>
      <c r="N53" s="41"/>
      <c r="O53" s="43">
        <f t="shared" si="8"/>
        <v>1</v>
      </c>
      <c r="P53" s="41">
        <v>1</v>
      </c>
      <c r="Q53" s="41"/>
      <c r="R53" s="41">
        <f t="shared" si="4"/>
        <v>1</v>
      </c>
      <c r="S53" s="10"/>
      <c r="T53" s="30">
        <v>1</v>
      </c>
      <c r="U53" s="3">
        <v>0</v>
      </c>
      <c r="Z53" s="13">
        <f t="shared" si="5"/>
        <v>1</v>
      </c>
      <c r="AA53" s="14">
        <f t="shared" si="6"/>
        <v>0</v>
      </c>
      <c r="AB53" s="31">
        <f t="shared" si="7"/>
        <v>1</v>
      </c>
      <c r="AC53" s="3">
        <v>1</v>
      </c>
    </row>
    <row r="54" spans="1:30" s="3" customFormat="1" ht="48.6" x14ac:dyDescent="0.3">
      <c r="A54" s="35">
        <v>51</v>
      </c>
      <c r="B54" s="36" t="s">
        <v>14</v>
      </c>
      <c r="C54" s="36" t="s">
        <v>29</v>
      </c>
      <c r="D54" s="36" t="s">
        <v>54</v>
      </c>
      <c r="E54" s="37" t="s">
        <v>17</v>
      </c>
      <c r="F54" s="41">
        <v>1</v>
      </c>
      <c r="G54" s="41"/>
      <c r="H54" s="41"/>
      <c r="I54" s="41">
        <v>2</v>
      </c>
      <c r="J54" s="41"/>
      <c r="K54" s="41"/>
      <c r="L54" s="41"/>
      <c r="M54" s="41"/>
      <c r="N54" s="41"/>
      <c r="O54" s="43">
        <f t="shared" si="8"/>
        <v>2</v>
      </c>
      <c r="P54" s="41">
        <v>1</v>
      </c>
      <c r="Q54" s="41"/>
      <c r="R54" s="41">
        <f t="shared" si="4"/>
        <v>1</v>
      </c>
      <c r="S54" s="10">
        <v>1</v>
      </c>
      <c r="T54" s="30">
        <v>0</v>
      </c>
      <c r="U54" s="3">
        <v>1</v>
      </c>
      <c r="Z54" s="13">
        <f t="shared" si="5"/>
        <v>1</v>
      </c>
      <c r="AA54" s="14">
        <f t="shared" si="6"/>
        <v>0</v>
      </c>
      <c r="AB54" s="31">
        <f t="shared" si="7"/>
        <v>1</v>
      </c>
      <c r="AC54" s="3">
        <v>1</v>
      </c>
    </row>
    <row r="55" spans="1:30" s="3" customFormat="1" ht="48.6" x14ac:dyDescent="0.3">
      <c r="A55" s="35">
        <v>52</v>
      </c>
      <c r="B55" s="36" t="s">
        <v>14</v>
      </c>
      <c r="C55" s="36" t="s">
        <v>31</v>
      </c>
      <c r="D55" s="36" t="s">
        <v>54</v>
      </c>
      <c r="E55" s="37" t="s">
        <v>17</v>
      </c>
      <c r="F55" s="41">
        <v>9</v>
      </c>
      <c r="G55" s="41"/>
      <c r="H55" s="41"/>
      <c r="I55" s="41">
        <v>8</v>
      </c>
      <c r="J55" s="41"/>
      <c r="K55" s="41"/>
      <c r="L55" s="41"/>
      <c r="M55" s="41"/>
      <c r="N55" s="41"/>
      <c r="O55" s="43">
        <f t="shared" si="8"/>
        <v>8</v>
      </c>
      <c r="P55" s="41">
        <v>9</v>
      </c>
      <c r="Q55" s="41"/>
      <c r="R55" s="41">
        <f t="shared" si="4"/>
        <v>9</v>
      </c>
      <c r="S55" s="10">
        <v>9</v>
      </c>
      <c r="T55" s="30">
        <v>0</v>
      </c>
      <c r="U55" s="3">
        <v>0</v>
      </c>
      <c r="Z55" s="13">
        <f t="shared" si="5"/>
        <v>0</v>
      </c>
      <c r="AA55" s="14">
        <f t="shared" si="6"/>
        <v>0</v>
      </c>
      <c r="AB55" s="31">
        <f t="shared" si="7"/>
        <v>0</v>
      </c>
    </row>
    <row r="56" spans="1:30" s="3" customFormat="1" ht="48.6" x14ac:dyDescent="0.3">
      <c r="A56" s="35">
        <v>53</v>
      </c>
      <c r="B56" s="36" t="s">
        <v>14</v>
      </c>
      <c r="C56" s="36" t="s">
        <v>32</v>
      </c>
      <c r="D56" s="36" t="s">
        <v>54</v>
      </c>
      <c r="E56" s="37" t="s">
        <v>17</v>
      </c>
      <c r="F56" s="41">
        <v>11</v>
      </c>
      <c r="G56" s="41"/>
      <c r="H56" s="41"/>
      <c r="I56" s="41">
        <f>10+1</f>
        <v>11</v>
      </c>
      <c r="J56" s="41"/>
      <c r="K56" s="41"/>
      <c r="L56" s="41"/>
      <c r="M56" s="41"/>
      <c r="N56" s="41"/>
      <c r="O56" s="43">
        <f t="shared" si="8"/>
        <v>11</v>
      </c>
      <c r="P56" s="41">
        <v>12</v>
      </c>
      <c r="Q56" s="41"/>
      <c r="R56" s="41">
        <f t="shared" si="4"/>
        <v>12</v>
      </c>
      <c r="S56" s="10">
        <v>11</v>
      </c>
      <c r="T56" s="30">
        <v>0</v>
      </c>
      <c r="U56" s="3">
        <v>0</v>
      </c>
      <c r="Z56" s="13">
        <f t="shared" si="5"/>
        <v>0</v>
      </c>
      <c r="AA56" s="14">
        <f t="shared" si="6"/>
        <v>0</v>
      </c>
      <c r="AB56" s="31">
        <f t="shared" si="7"/>
        <v>0</v>
      </c>
    </row>
    <row r="57" spans="1:30" s="3" customFormat="1" ht="48.6" x14ac:dyDescent="0.3">
      <c r="A57" s="35">
        <v>54</v>
      </c>
      <c r="B57" s="36" t="s">
        <v>14</v>
      </c>
      <c r="C57" s="36" t="s">
        <v>33</v>
      </c>
      <c r="D57" s="36" t="s">
        <v>54</v>
      </c>
      <c r="E57" s="37" t="s">
        <v>17</v>
      </c>
      <c r="F57" s="41">
        <v>5</v>
      </c>
      <c r="G57" s="41"/>
      <c r="H57" s="41"/>
      <c r="I57" s="41">
        <v>5</v>
      </c>
      <c r="J57" s="41"/>
      <c r="K57" s="41"/>
      <c r="L57" s="41"/>
      <c r="M57" s="41"/>
      <c r="N57" s="41"/>
      <c r="O57" s="43">
        <f t="shared" si="8"/>
        <v>5</v>
      </c>
      <c r="P57" s="41">
        <v>5</v>
      </c>
      <c r="Q57" s="41"/>
      <c r="R57" s="41">
        <f t="shared" si="4"/>
        <v>5</v>
      </c>
      <c r="S57" s="10">
        <v>5</v>
      </c>
      <c r="T57" s="30">
        <v>0</v>
      </c>
      <c r="U57" s="3">
        <v>0</v>
      </c>
      <c r="Z57" s="13">
        <f t="shared" si="5"/>
        <v>0</v>
      </c>
      <c r="AA57" s="14">
        <f t="shared" si="6"/>
        <v>0</v>
      </c>
      <c r="AB57" s="31">
        <f t="shared" si="7"/>
        <v>0</v>
      </c>
    </row>
    <row r="58" spans="1:30" s="3" customFormat="1" ht="48.6" x14ac:dyDescent="0.3">
      <c r="A58" s="35">
        <v>55</v>
      </c>
      <c r="B58" s="36" t="s">
        <v>14</v>
      </c>
      <c r="C58" s="36" t="s">
        <v>34</v>
      </c>
      <c r="D58" s="36" t="s">
        <v>54</v>
      </c>
      <c r="E58" s="37" t="s">
        <v>17</v>
      </c>
      <c r="F58" s="41">
        <v>11</v>
      </c>
      <c r="G58" s="41"/>
      <c r="H58" s="41"/>
      <c r="I58" s="41">
        <f>12+1</f>
        <v>13</v>
      </c>
      <c r="J58" s="41"/>
      <c r="K58" s="41"/>
      <c r="L58" s="41"/>
      <c r="M58" s="41"/>
      <c r="N58" s="41"/>
      <c r="O58" s="43">
        <f t="shared" si="8"/>
        <v>13</v>
      </c>
      <c r="P58" s="41">
        <v>11</v>
      </c>
      <c r="Q58" s="41"/>
      <c r="R58" s="41">
        <f t="shared" si="4"/>
        <v>11</v>
      </c>
      <c r="S58" s="10">
        <v>11</v>
      </c>
      <c r="T58" s="30">
        <v>0</v>
      </c>
      <c r="U58" s="3">
        <v>0</v>
      </c>
      <c r="V58" s="3">
        <v>2</v>
      </c>
      <c r="Z58" s="13">
        <f t="shared" si="5"/>
        <v>2</v>
      </c>
      <c r="AA58" s="14">
        <f t="shared" si="6"/>
        <v>0</v>
      </c>
      <c r="AB58" s="31">
        <f t="shared" si="7"/>
        <v>2</v>
      </c>
      <c r="AD58" s="3">
        <v>2</v>
      </c>
    </row>
    <row r="59" spans="1:30" s="3" customFormat="1" ht="48.6" x14ac:dyDescent="0.3">
      <c r="A59" s="35">
        <v>56</v>
      </c>
      <c r="B59" s="36" t="s">
        <v>14</v>
      </c>
      <c r="C59" s="36" t="s">
        <v>35</v>
      </c>
      <c r="D59" s="36" t="s">
        <v>54</v>
      </c>
      <c r="E59" s="37" t="s">
        <v>17</v>
      </c>
      <c r="F59" s="41">
        <v>17</v>
      </c>
      <c r="G59" s="41"/>
      <c r="H59" s="41"/>
      <c r="I59" s="41">
        <v>17</v>
      </c>
      <c r="J59" s="41"/>
      <c r="K59" s="41"/>
      <c r="L59" s="41"/>
      <c r="M59" s="41"/>
      <c r="N59" s="41"/>
      <c r="O59" s="43">
        <f t="shared" si="8"/>
        <v>17</v>
      </c>
      <c r="P59" s="41">
        <v>17</v>
      </c>
      <c r="Q59" s="41"/>
      <c r="R59" s="41">
        <f t="shared" si="4"/>
        <v>17</v>
      </c>
      <c r="S59" s="10">
        <v>13</v>
      </c>
      <c r="T59" s="30">
        <v>4</v>
      </c>
      <c r="U59" s="3">
        <v>0</v>
      </c>
      <c r="Z59" s="13">
        <f t="shared" si="5"/>
        <v>4</v>
      </c>
      <c r="AA59" s="14">
        <f t="shared" si="6"/>
        <v>0</v>
      </c>
      <c r="AB59" s="31">
        <f t="shared" si="7"/>
        <v>4</v>
      </c>
      <c r="AC59" s="3">
        <v>4</v>
      </c>
    </row>
    <row r="60" spans="1:30" s="3" customFormat="1" ht="48.6" x14ac:dyDescent="0.3">
      <c r="A60" s="35">
        <v>57</v>
      </c>
      <c r="B60" s="36" t="s">
        <v>14</v>
      </c>
      <c r="C60" s="36" t="s">
        <v>36</v>
      </c>
      <c r="D60" s="36" t="s">
        <v>54</v>
      </c>
      <c r="E60" s="37" t="s">
        <v>17</v>
      </c>
      <c r="F60" s="41">
        <v>18</v>
      </c>
      <c r="G60" s="41"/>
      <c r="H60" s="41"/>
      <c r="I60" s="41">
        <v>20</v>
      </c>
      <c r="J60" s="41"/>
      <c r="K60" s="41"/>
      <c r="L60" s="41"/>
      <c r="M60" s="41"/>
      <c r="N60" s="41"/>
      <c r="O60" s="43">
        <f t="shared" si="8"/>
        <v>20</v>
      </c>
      <c r="P60" s="41">
        <v>18</v>
      </c>
      <c r="Q60" s="41"/>
      <c r="R60" s="41">
        <f t="shared" si="4"/>
        <v>18</v>
      </c>
      <c r="S60" s="10">
        <v>18</v>
      </c>
      <c r="T60" s="30">
        <v>0</v>
      </c>
      <c r="U60" s="3">
        <v>2</v>
      </c>
      <c r="Z60" s="13">
        <f t="shared" si="5"/>
        <v>2</v>
      </c>
      <c r="AA60" s="14">
        <f t="shared" si="6"/>
        <v>0</v>
      </c>
      <c r="AB60" s="31">
        <f t="shared" si="7"/>
        <v>2</v>
      </c>
      <c r="AC60" s="3">
        <v>2</v>
      </c>
    </row>
    <row r="61" spans="1:30" s="3" customFormat="1" ht="48.6" x14ac:dyDescent="0.3">
      <c r="A61" s="35">
        <v>58</v>
      </c>
      <c r="B61" s="36" t="s">
        <v>14</v>
      </c>
      <c r="C61" s="36" t="s">
        <v>37</v>
      </c>
      <c r="D61" s="36" t="s">
        <v>54</v>
      </c>
      <c r="E61" s="37" t="s">
        <v>17</v>
      </c>
      <c r="F61" s="41">
        <v>7</v>
      </c>
      <c r="G61" s="41"/>
      <c r="H61" s="41"/>
      <c r="I61" s="41">
        <v>6</v>
      </c>
      <c r="J61" s="41"/>
      <c r="K61" s="41"/>
      <c r="L61" s="41"/>
      <c r="M61" s="41"/>
      <c r="N61" s="41"/>
      <c r="O61" s="43">
        <f t="shared" si="8"/>
        <v>6</v>
      </c>
      <c r="P61" s="41">
        <v>7</v>
      </c>
      <c r="Q61" s="41"/>
      <c r="R61" s="41">
        <f t="shared" si="4"/>
        <v>7</v>
      </c>
      <c r="S61" s="10">
        <v>7</v>
      </c>
      <c r="T61" s="30">
        <v>0</v>
      </c>
      <c r="U61" s="3">
        <v>0</v>
      </c>
      <c r="Z61" s="13">
        <f t="shared" si="5"/>
        <v>0</v>
      </c>
      <c r="AA61" s="14">
        <f t="shared" si="6"/>
        <v>0</v>
      </c>
      <c r="AB61" s="31">
        <f t="shared" si="7"/>
        <v>0</v>
      </c>
    </row>
    <row r="62" spans="1:30" s="3" customFormat="1" ht="48.6" x14ac:dyDescent="0.3">
      <c r="A62" s="35">
        <v>59</v>
      </c>
      <c r="B62" s="36" t="s">
        <v>14</v>
      </c>
      <c r="C62" s="36" t="s">
        <v>29</v>
      </c>
      <c r="D62" s="36" t="s">
        <v>60</v>
      </c>
      <c r="E62" s="37" t="s">
        <v>17</v>
      </c>
      <c r="F62" s="41">
        <v>4</v>
      </c>
      <c r="G62" s="41"/>
      <c r="H62" s="41"/>
      <c r="I62" s="41">
        <v>4</v>
      </c>
      <c r="J62" s="41"/>
      <c r="K62" s="41"/>
      <c r="L62" s="41"/>
      <c r="M62" s="41"/>
      <c r="N62" s="41"/>
      <c r="O62" s="43">
        <f t="shared" si="8"/>
        <v>4</v>
      </c>
      <c r="P62" s="41"/>
      <c r="Q62" s="41"/>
      <c r="R62" s="41">
        <f t="shared" si="4"/>
        <v>0</v>
      </c>
      <c r="S62" s="10"/>
      <c r="T62" s="30">
        <v>4</v>
      </c>
      <c r="U62" s="3">
        <v>0</v>
      </c>
      <c r="Z62" s="13">
        <f t="shared" si="5"/>
        <v>4</v>
      </c>
      <c r="AA62" s="14">
        <f t="shared" si="6"/>
        <v>0</v>
      </c>
      <c r="AB62" s="31">
        <f t="shared" si="7"/>
        <v>4</v>
      </c>
      <c r="AC62" s="3">
        <v>4</v>
      </c>
    </row>
    <row r="63" spans="1:30" s="3" customFormat="1" ht="48.6" x14ac:dyDescent="0.3">
      <c r="A63" s="35">
        <v>60</v>
      </c>
      <c r="B63" s="36" t="s">
        <v>14</v>
      </c>
      <c r="C63" s="36" t="s">
        <v>32</v>
      </c>
      <c r="D63" s="36" t="s">
        <v>60</v>
      </c>
      <c r="E63" s="37" t="s">
        <v>17</v>
      </c>
      <c r="F63" s="41">
        <v>2</v>
      </c>
      <c r="G63" s="41"/>
      <c r="H63" s="41"/>
      <c r="I63" s="41">
        <v>2</v>
      </c>
      <c r="J63" s="41"/>
      <c r="K63" s="41"/>
      <c r="L63" s="41"/>
      <c r="M63" s="41"/>
      <c r="N63" s="41"/>
      <c r="O63" s="43">
        <f t="shared" si="8"/>
        <v>2</v>
      </c>
      <c r="P63" s="41"/>
      <c r="Q63" s="41"/>
      <c r="R63" s="41">
        <f t="shared" si="4"/>
        <v>0</v>
      </c>
      <c r="S63" s="10">
        <v>2</v>
      </c>
      <c r="T63" s="30">
        <v>0</v>
      </c>
      <c r="U63" s="3">
        <v>0</v>
      </c>
      <c r="Z63" s="13">
        <f t="shared" si="5"/>
        <v>0</v>
      </c>
      <c r="AA63" s="14">
        <f t="shared" si="6"/>
        <v>2</v>
      </c>
      <c r="AB63" s="31">
        <f t="shared" si="7"/>
        <v>2</v>
      </c>
      <c r="AC63" s="3">
        <v>2</v>
      </c>
    </row>
    <row r="64" spans="1:30" s="3" customFormat="1" ht="48.6" x14ac:dyDescent="0.3">
      <c r="A64" s="35">
        <v>61</v>
      </c>
      <c r="B64" s="36" t="s">
        <v>14</v>
      </c>
      <c r="C64" s="36" t="s">
        <v>55</v>
      </c>
      <c r="D64" s="36" t="s">
        <v>61</v>
      </c>
      <c r="E64" s="37" t="s">
        <v>17</v>
      </c>
      <c r="F64" s="41"/>
      <c r="G64" s="41">
        <v>1</v>
      </c>
      <c r="H64" s="41"/>
      <c r="I64" s="41"/>
      <c r="J64" s="41">
        <v>12</v>
      </c>
      <c r="K64" s="41"/>
      <c r="L64" s="41"/>
      <c r="M64" s="41"/>
      <c r="N64" s="41"/>
      <c r="O64" s="43">
        <f t="shared" si="8"/>
        <v>13</v>
      </c>
      <c r="P64" s="41"/>
      <c r="Q64" s="41">
        <v>1</v>
      </c>
      <c r="R64" s="41">
        <f t="shared" si="4"/>
        <v>1</v>
      </c>
      <c r="S64" s="10">
        <v>1</v>
      </c>
      <c r="T64" s="30">
        <v>0</v>
      </c>
      <c r="U64" s="3">
        <v>0</v>
      </c>
      <c r="V64" s="3">
        <v>12</v>
      </c>
      <c r="Z64" s="13">
        <f t="shared" si="5"/>
        <v>12</v>
      </c>
      <c r="AA64" s="14">
        <f t="shared" si="6"/>
        <v>6</v>
      </c>
      <c r="AB64" s="31">
        <f t="shared" si="7"/>
        <v>18</v>
      </c>
      <c r="AC64" s="44">
        <v>6</v>
      </c>
      <c r="AD64" s="3">
        <v>12</v>
      </c>
    </row>
    <row r="65" spans="1:30" s="3" customFormat="1" ht="48.6" x14ac:dyDescent="0.3">
      <c r="A65" s="35">
        <v>62</v>
      </c>
      <c r="B65" s="36" t="s">
        <v>14</v>
      </c>
      <c r="C65" s="36" t="s">
        <v>62</v>
      </c>
      <c r="D65" s="36" t="s">
        <v>61</v>
      </c>
      <c r="E65" s="37" t="s">
        <v>17</v>
      </c>
      <c r="F65" s="41"/>
      <c r="G65" s="41">
        <v>2</v>
      </c>
      <c r="H65" s="41"/>
      <c r="I65" s="41"/>
      <c r="J65" s="41"/>
      <c r="K65" s="41"/>
      <c r="L65" s="41"/>
      <c r="M65" s="41"/>
      <c r="N65" s="41"/>
      <c r="O65" s="43">
        <f t="shared" si="8"/>
        <v>2</v>
      </c>
      <c r="P65" s="41"/>
      <c r="Q65" s="41">
        <v>2</v>
      </c>
      <c r="R65" s="41">
        <f t="shared" si="4"/>
        <v>2</v>
      </c>
      <c r="S65" s="10">
        <v>2</v>
      </c>
      <c r="T65" s="30">
        <v>0</v>
      </c>
      <c r="U65" s="3">
        <v>0</v>
      </c>
      <c r="Z65" s="13">
        <f t="shared" si="5"/>
        <v>0</v>
      </c>
      <c r="AA65" s="14">
        <f t="shared" si="6"/>
        <v>5</v>
      </c>
      <c r="AB65" s="31">
        <f t="shared" si="7"/>
        <v>5</v>
      </c>
      <c r="AC65" s="3">
        <v>5</v>
      </c>
    </row>
    <row r="66" spans="1:30" s="3" customFormat="1" ht="48.6" x14ac:dyDescent="0.3">
      <c r="A66" s="35">
        <v>63</v>
      </c>
      <c r="B66" s="36" t="s">
        <v>14</v>
      </c>
      <c r="C66" s="36" t="s">
        <v>63</v>
      </c>
      <c r="D66" s="36" t="s">
        <v>61</v>
      </c>
      <c r="E66" s="37" t="s">
        <v>17</v>
      </c>
      <c r="F66" s="41"/>
      <c r="G66" s="41">
        <v>2</v>
      </c>
      <c r="H66" s="41"/>
      <c r="I66" s="41"/>
      <c r="J66" s="41"/>
      <c r="K66" s="41"/>
      <c r="L66" s="41"/>
      <c r="M66" s="41"/>
      <c r="N66" s="41"/>
      <c r="O66" s="43">
        <f t="shared" si="8"/>
        <v>2</v>
      </c>
      <c r="P66" s="41"/>
      <c r="Q66" s="41">
        <v>2</v>
      </c>
      <c r="R66" s="41">
        <f t="shared" si="4"/>
        <v>2</v>
      </c>
      <c r="S66" s="10">
        <v>2</v>
      </c>
      <c r="T66" s="30">
        <v>0</v>
      </c>
      <c r="U66" s="3">
        <v>0</v>
      </c>
      <c r="Z66" s="13">
        <f t="shared" si="5"/>
        <v>0</v>
      </c>
      <c r="AA66" s="14">
        <f t="shared" si="6"/>
        <v>0</v>
      </c>
      <c r="AB66" s="31">
        <f t="shared" si="7"/>
        <v>0</v>
      </c>
    </row>
    <row r="67" spans="1:30" s="3" customFormat="1" ht="48.6" x14ac:dyDescent="0.3">
      <c r="A67" s="35">
        <v>64</v>
      </c>
      <c r="B67" s="36" t="s">
        <v>14</v>
      </c>
      <c r="C67" s="36" t="s">
        <v>69</v>
      </c>
      <c r="D67" s="36" t="s">
        <v>41</v>
      </c>
      <c r="E67" s="37" t="s">
        <v>17</v>
      </c>
      <c r="F67" s="41"/>
      <c r="G67" s="41"/>
      <c r="H67" s="41"/>
      <c r="I67" s="41">
        <v>1</v>
      </c>
      <c r="J67" s="41"/>
      <c r="K67" s="41"/>
      <c r="L67" s="41"/>
      <c r="M67" s="41"/>
      <c r="N67" s="41"/>
      <c r="O67" s="43">
        <f t="shared" si="8"/>
        <v>1</v>
      </c>
      <c r="P67" s="41"/>
      <c r="Q67" s="41">
        <v>2</v>
      </c>
      <c r="R67" s="41">
        <f t="shared" ref="R67:R85" si="9">SUM(P67:Q67)</f>
        <v>2</v>
      </c>
      <c r="S67" s="10">
        <v>2</v>
      </c>
      <c r="T67" s="30">
        <v>0</v>
      </c>
      <c r="U67" s="3">
        <v>0</v>
      </c>
      <c r="V67" s="3">
        <v>1</v>
      </c>
      <c r="Z67" s="13">
        <f t="shared" ref="Z67:Z85" si="10">SUM(T67:Y67)</f>
        <v>1</v>
      </c>
      <c r="AA67" s="14">
        <f t="shared" ref="AA67:AA85" si="11">+AB67-Z67</f>
        <v>0</v>
      </c>
      <c r="AB67" s="31">
        <f t="shared" ref="AB67:AB85" si="12">SUM(AC67:EP67)</f>
        <v>1</v>
      </c>
      <c r="AD67" s="3">
        <v>1</v>
      </c>
    </row>
    <row r="68" spans="1:30" s="3" customFormat="1" ht="48.6" x14ac:dyDescent="0.3">
      <c r="A68" s="35">
        <v>65</v>
      </c>
      <c r="B68" s="36" t="s">
        <v>14</v>
      </c>
      <c r="C68" s="36" t="s">
        <v>38</v>
      </c>
      <c r="D68" s="36" t="s">
        <v>54</v>
      </c>
      <c r="E68" s="37" t="s">
        <v>17</v>
      </c>
      <c r="F68" s="41"/>
      <c r="G68" s="41"/>
      <c r="H68" s="41"/>
      <c r="I68" s="41">
        <v>1</v>
      </c>
      <c r="J68" s="41"/>
      <c r="K68" s="41"/>
      <c r="L68" s="41"/>
      <c r="M68" s="41"/>
      <c r="N68" s="41"/>
      <c r="O68" s="43">
        <f t="shared" ref="O68" si="13">SUM(G68:N68)</f>
        <v>1</v>
      </c>
      <c r="P68" s="41"/>
      <c r="Q68" s="41">
        <v>2</v>
      </c>
      <c r="R68" s="41">
        <f t="shared" si="9"/>
        <v>2</v>
      </c>
      <c r="S68" s="10">
        <v>2</v>
      </c>
      <c r="T68" s="30">
        <v>0</v>
      </c>
      <c r="U68" s="3">
        <v>0</v>
      </c>
      <c r="V68" s="3">
        <v>1</v>
      </c>
      <c r="Z68" s="13">
        <f t="shared" si="10"/>
        <v>1</v>
      </c>
      <c r="AA68" s="14">
        <f t="shared" si="11"/>
        <v>0</v>
      </c>
      <c r="AB68" s="31">
        <f t="shared" si="12"/>
        <v>1</v>
      </c>
      <c r="AD68" s="3">
        <v>1</v>
      </c>
    </row>
    <row r="69" spans="1:30" s="3" customFormat="1" ht="48.6" x14ac:dyDescent="0.3">
      <c r="A69" s="35">
        <v>66</v>
      </c>
      <c r="B69" s="36" t="s">
        <v>14</v>
      </c>
      <c r="C69" s="36" t="s">
        <v>70</v>
      </c>
      <c r="D69" s="36" t="s">
        <v>61</v>
      </c>
      <c r="E69" s="37" t="s">
        <v>17</v>
      </c>
      <c r="F69" s="41"/>
      <c r="G69" s="41"/>
      <c r="H69" s="41"/>
      <c r="I69" s="41"/>
      <c r="J69" s="41">
        <v>1</v>
      </c>
      <c r="K69" s="41"/>
      <c r="L69" s="41"/>
      <c r="M69" s="41"/>
      <c r="N69" s="41"/>
      <c r="O69" s="43">
        <f t="shared" ref="O69:O85" si="14">SUM(G69:N69)</f>
        <v>1</v>
      </c>
      <c r="P69" s="41"/>
      <c r="Q69" s="41">
        <v>2</v>
      </c>
      <c r="R69" s="41">
        <f t="shared" si="9"/>
        <v>2</v>
      </c>
      <c r="S69" s="10">
        <v>2</v>
      </c>
      <c r="T69" s="30">
        <v>0</v>
      </c>
      <c r="U69" s="3">
        <v>0</v>
      </c>
      <c r="V69" s="3">
        <v>1</v>
      </c>
      <c r="Z69" s="13">
        <f t="shared" si="10"/>
        <v>1</v>
      </c>
      <c r="AA69" s="14">
        <f t="shared" si="11"/>
        <v>0</v>
      </c>
      <c r="AB69" s="31">
        <f t="shared" si="12"/>
        <v>1</v>
      </c>
      <c r="AD69" s="3">
        <v>1</v>
      </c>
    </row>
    <row r="70" spans="1:30" s="3" customFormat="1" ht="48.6" x14ac:dyDescent="0.3">
      <c r="A70" s="35">
        <v>67</v>
      </c>
      <c r="B70" s="36" t="s">
        <v>14</v>
      </c>
      <c r="C70" s="36" t="s">
        <v>71</v>
      </c>
      <c r="D70" s="36" t="s">
        <v>61</v>
      </c>
      <c r="E70" s="37" t="s">
        <v>17</v>
      </c>
      <c r="F70" s="41"/>
      <c r="G70" s="41"/>
      <c r="H70" s="41"/>
      <c r="I70" s="41"/>
      <c r="J70" s="41">
        <v>6</v>
      </c>
      <c r="K70" s="41"/>
      <c r="L70" s="41"/>
      <c r="M70" s="41"/>
      <c r="N70" s="41"/>
      <c r="O70" s="43">
        <f t="shared" si="14"/>
        <v>6</v>
      </c>
      <c r="P70" s="41"/>
      <c r="Q70" s="41">
        <v>2</v>
      </c>
      <c r="R70" s="41">
        <f t="shared" si="9"/>
        <v>2</v>
      </c>
      <c r="S70" s="10">
        <v>2</v>
      </c>
      <c r="T70" s="30">
        <v>0</v>
      </c>
      <c r="U70" s="3">
        <v>0</v>
      </c>
      <c r="V70" s="3">
        <v>6</v>
      </c>
      <c r="Z70" s="13">
        <f t="shared" si="10"/>
        <v>6</v>
      </c>
      <c r="AA70" s="14">
        <f t="shared" si="11"/>
        <v>0</v>
      </c>
      <c r="AB70" s="31">
        <f t="shared" si="12"/>
        <v>6</v>
      </c>
      <c r="AD70" s="3">
        <v>6</v>
      </c>
    </row>
    <row r="71" spans="1:30" s="3" customFormat="1" x14ac:dyDescent="0.3">
      <c r="A71" s="35">
        <v>68</v>
      </c>
      <c r="B71" s="36" t="s">
        <v>14</v>
      </c>
      <c r="C71" s="36" t="s">
        <v>32</v>
      </c>
      <c r="D71" s="36" t="s">
        <v>72</v>
      </c>
      <c r="E71" s="37" t="s">
        <v>17</v>
      </c>
      <c r="F71" s="41"/>
      <c r="G71" s="41"/>
      <c r="H71" s="41"/>
      <c r="I71" s="41"/>
      <c r="J71" s="41"/>
      <c r="K71" s="41">
        <v>7</v>
      </c>
      <c r="L71" s="41"/>
      <c r="M71" s="41"/>
      <c r="N71" s="41"/>
      <c r="O71" s="43">
        <f t="shared" si="14"/>
        <v>7</v>
      </c>
      <c r="P71" s="41"/>
      <c r="Q71" s="41">
        <v>2</v>
      </c>
      <c r="R71" s="41">
        <f t="shared" si="9"/>
        <v>2</v>
      </c>
      <c r="S71" s="10">
        <v>2</v>
      </c>
      <c r="T71" s="30">
        <v>0</v>
      </c>
      <c r="U71" s="3">
        <v>0</v>
      </c>
      <c r="V71" s="3">
        <v>7</v>
      </c>
      <c r="Z71" s="13">
        <f t="shared" si="10"/>
        <v>7</v>
      </c>
      <c r="AA71" s="14">
        <f t="shared" si="11"/>
        <v>0</v>
      </c>
      <c r="AB71" s="31">
        <f t="shared" si="12"/>
        <v>7</v>
      </c>
      <c r="AD71" s="3">
        <v>7</v>
      </c>
    </row>
    <row r="72" spans="1:30" s="3" customFormat="1" x14ac:dyDescent="0.3">
      <c r="A72" s="35">
        <v>69</v>
      </c>
      <c r="B72" s="36" t="s">
        <v>14</v>
      </c>
      <c r="C72" s="36" t="s">
        <v>69</v>
      </c>
      <c r="D72" s="36" t="s">
        <v>72</v>
      </c>
      <c r="E72" s="37" t="s">
        <v>17</v>
      </c>
      <c r="F72" s="41"/>
      <c r="G72" s="41"/>
      <c r="H72" s="41"/>
      <c r="I72" s="41"/>
      <c r="J72" s="41"/>
      <c r="K72" s="41">
        <v>1</v>
      </c>
      <c r="L72" s="41"/>
      <c r="M72" s="41"/>
      <c r="N72" s="41"/>
      <c r="O72" s="43">
        <f t="shared" si="14"/>
        <v>1</v>
      </c>
      <c r="P72" s="41"/>
      <c r="Q72" s="41">
        <v>2</v>
      </c>
      <c r="R72" s="41">
        <f t="shared" si="9"/>
        <v>2</v>
      </c>
      <c r="S72" s="10">
        <v>2</v>
      </c>
      <c r="T72" s="30">
        <v>0</v>
      </c>
      <c r="U72" s="3">
        <v>0</v>
      </c>
      <c r="V72" s="3">
        <v>1</v>
      </c>
      <c r="Z72" s="13">
        <f t="shared" si="10"/>
        <v>1</v>
      </c>
      <c r="AA72" s="14">
        <f t="shared" si="11"/>
        <v>0</v>
      </c>
      <c r="AB72" s="31">
        <f t="shared" si="12"/>
        <v>1</v>
      </c>
      <c r="AD72" s="3">
        <v>1</v>
      </c>
    </row>
    <row r="73" spans="1:30" s="3" customFormat="1" x14ac:dyDescent="0.3">
      <c r="A73" s="35">
        <v>70</v>
      </c>
      <c r="B73" s="36" t="s">
        <v>14</v>
      </c>
      <c r="C73" s="36" t="s">
        <v>33</v>
      </c>
      <c r="D73" s="36" t="s">
        <v>72</v>
      </c>
      <c r="E73" s="37" t="s">
        <v>17</v>
      </c>
      <c r="F73" s="41"/>
      <c r="G73" s="41"/>
      <c r="H73" s="41"/>
      <c r="I73" s="41"/>
      <c r="J73" s="41"/>
      <c r="K73" s="41">
        <v>60</v>
      </c>
      <c r="L73" s="41"/>
      <c r="M73" s="41"/>
      <c r="N73" s="41"/>
      <c r="O73" s="43">
        <f t="shared" si="14"/>
        <v>60</v>
      </c>
      <c r="P73" s="41"/>
      <c r="Q73" s="41">
        <v>2</v>
      </c>
      <c r="R73" s="41">
        <f t="shared" si="9"/>
        <v>2</v>
      </c>
      <c r="S73" s="10">
        <v>2</v>
      </c>
      <c r="T73" s="30">
        <v>0</v>
      </c>
      <c r="U73" s="3">
        <v>0</v>
      </c>
      <c r="V73" s="3">
        <v>60</v>
      </c>
      <c r="Z73" s="13">
        <f t="shared" si="10"/>
        <v>60</v>
      </c>
      <c r="AA73" s="14">
        <f t="shared" si="11"/>
        <v>0</v>
      </c>
      <c r="AB73" s="31">
        <f t="shared" si="12"/>
        <v>60</v>
      </c>
      <c r="AD73" s="3">
        <v>60</v>
      </c>
    </row>
    <row r="74" spans="1:30" s="3" customFormat="1" x14ac:dyDescent="0.3">
      <c r="A74" s="35">
        <v>71</v>
      </c>
      <c r="B74" s="36" t="s">
        <v>14</v>
      </c>
      <c r="C74" s="36" t="s">
        <v>34</v>
      </c>
      <c r="D74" s="36" t="s">
        <v>72</v>
      </c>
      <c r="E74" s="37" t="s">
        <v>17</v>
      </c>
      <c r="F74" s="41"/>
      <c r="G74" s="41"/>
      <c r="H74" s="41"/>
      <c r="I74" s="41"/>
      <c r="J74" s="41"/>
      <c r="K74" s="41">
        <v>9</v>
      </c>
      <c r="L74" s="41"/>
      <c r="M74" s="41"/>
      <c r="N74" s="41"/>
      <c r="O74" s="43">
        <f t="shared" si="14"/>
        <v>9</v>
      </c>
      <c r="P74" s="41"/>
      <c r="Q74" s="41">
        <v>2</v>
      </c>
      <c r="R74" s="41">
        <f t="shared" si="9"/>
        <v>2</v>
      </c>
      <c r="S74" s="10">
        <v>2</v>
      </c>
      <c r="T74" s="30">
        <v>0</v>
      </c>
      <c r="U74" s="3">
        <v>0</v>
      </c>
      <c r="V74" s="3">
        <v>9</v>
      </c>
      <c r="Z74" s="13">
        <f t="shared" si="10"/>
        <v>9</v>
      </c>
      <c r="AA74" s="14">
        <f t="shared" si="11"/>
        <v>0</v>
      </c>
      <c r="AB74" s="31">
        <f t="shared" si="12"/>
        <v>9</v>
      </c>
      <c r="AD74" s="3">
        <v>9</v>
      </c>
    </row>
    <row r="75" spans="1:30" s="3" customFormat="1" x14ac:dyDescent="0.3">
      <c r="A75" s="35">
        <v>72</v>
      </c>
      <c r="B75" s="36" t="s">
        <v>14</v>
      </c>
      <c r="C75" s="36" t="s">
        <v>37</v>
      </c>
      <c r="D75" s="36" t="s">
        <v>72</v>
      </c>
      <c r="E75" s="37" t="s">
        <v>17</v>
      </c>
      <c r="F75" s="41"/>
      <c r="G75" s="41"/>
      <c r="H75" s="41"/>
      <c r="I75" s="41"/>
      <c r="J75" s="41"/>
      <c r="K75" s="41">
        <v>41</v>
      </c>
      <c r="L75" s="41"/>
      <c r="M75" s="41"/>
      <c r="N75" s="41"/>
      <c r="O75" s="43">
        <f t="shared" si="14"/>
        <v>41</v>
      </c>
      <c r="P75" s="41"/>
      <c r="Q75" s="41">
        <v>2</v>
      </c>
      <c r="R75" s="41">
        <f t="shared" si="9"/>
        <v>2</v>
      </c>
      <c r="S75" s="10">
        <v>2</v>
      </c>
      <c r="T75" s="30">
        <v>0</v>
      </c>
      <c r="U75" s="3">
        <v>0</v>
      </c>
      <c r="V75" s="3">
        <v>41</v>
      </c>
      <c r="Z75" s="13">
        <f t="shared" si="10"/>
        <v>41</v>
      </c>
      <c r="AA75" s="14">
        <f t="shared" si="11"/>
        <v>0</v>
      </c>
      <c r="AB75" s="31">
        <f t="shared" si="12"/>
        <v>41</v>
      </c>
      <c r="AD75" s="3">
        <v>41</v>
      </c>
    </row>
    <row r="76" spans="1:30" s="3" customFormat="1" x14ac:dyDescent="0.3">
      <c r="A76" s="35">
        <v>73</v>
      </c>
      <c r="B76" s="36" t="s">
        <v>14</v>
      </c>
      <c r="C76" s="36" t="s">
        <v>40</v>
      </c>
      <c r="D76" s="36" t="s">
        <v>72</v>
      </c>
      <c r="E76" s="37" t="s">
        <v>17</v>
      </c>
      <c r="F76" s="41"/>
      <c r="G76" s="41"/>
      <c r="H76" s="41"/>
      <c r="I76" s="41"/>
      <c r="J76" s="41"/>
      <c r="K76" s="41">
        <v>1</v>
      </c>
      <c r="L76" s="41"/>
      <c r="M76" s="41"/>
      <c r="N76" s="41"/>
      <c r="O76" s="43">
        <f t="shared" si="14"/>
        <v>1</v>
      </c>
      <c r="P76" s="41"/>
      <c r="Q76" s="41">
        <v>2</v>
      </c>
      <c r="R76" s="41">
        <f t="shared" si="9"/>
        <v>2</v>
      </c>
      <c r="S76" s="10">
        <v>2</v>
      </c>
      <c r="T76" s="30">
        <v>0</v>
      </c>
      <c r="U76" s="3">
        <v>0</v>
      </c>
      <c r="V76" s="3">
        <v>1</v>
      </c>
      <c r="Z76" s="13">
        <f t="shared" si="10"/>
        <v>1</v>
      </c>
      <c r="AA76" s="14">
        <f t="shared" si="11"/>
        <v>0</v>
      </c>
      <c r="AB76" s="31">
        <f t="shared" si="12"/>
        <v>1</v>
      </c>
      <c r="AD76" s="3">
        <v>1</v>
      </c>
    </row>
    <row r="77" spans="1:30" s="3" customFormat="1" x14ac:dyDescent="0.3">
      <c r="A77" s="35">
        <v>74</v>
      </c>
      <c r="B77" s="36" t="s">
        <v>14</v>
      </c>
      <c r="C77" s="36" t="s">
        <v>57</v>
      </c>
      <c r="D77" s="36" t="s">
        <v>72</v>
      </c>
      <c r="E77" s="37" t="s">
        <v>17</v>
      </c>
      <c r="F77" s="41"/>
      <c r="G77" s="41"/>
      <c r="H77" s="41"/>
      <c r="I77" s="41"/>
      <c r="J77" s="41"/>
      <c r="K77" s="41">
        <v>2</v>
      </c>
      <c r="L77" s="41"/>
      <c r="M77" s="41"/>
      <c r="N77" s="41"/>
      <c r="O77" s="43">
        <f t="shared" si="14"/>
        <v>2</v>
      </c>
      <c r="P77" s="41"/>
      <c r="Q77" s="41">
        <v>2</v>
      </c>
      <c r="R77" s="41">
        <f t="shared" si="9"/>
        <v>2</v>
      </c>
      <c r="S77" s="10">
        <v>2</v>
      </c>
      <c r="T77" s="30">
        <v>0</v>
      </c>
      <c r="U77" s="3">
        <v>0</v>
      </c>
      <c r="V77" s="3">
        <v>2</v>
      </c>
      <c r="Z77" s="13">
        <f t="shared" si="10"/>
        <v>2</v>
      </c>
      <c r="AA77" s="14">
        <f t="shared" si="11"/>
        <v>0</v>
      </c>
      <c r="AB77" s="31">
        <f t="shared" si="12"/>
        <v>2</v>
      </c>
      <c r="AD77" s="3">
        <v>2</v>
      </c>
    </row>
    <row r="78" spans="1:30" s="3" customFormat="1" x14ac:dyDescent="0.3">
      <c r="A78" s="35">
        <v>75</v>
      </c>
      <c r="B78" s="36" t="s">
        <v>14</v>
      </c>
      <c r="C78" s="36" t="s">
        <v>59</v>
      </c>
      <c r="D78" s="36" t="s">
        <v>72</v>
      </c>
      <c r="E78" s="37" t="s">
        <v>17</v>
      </c>
      <c r="F78" s="41"/>
      <c r="G78" s="41"/>
      <c r="H78" s="41"/>
      <c r="I78" s="41"/>
      <c r="J78" s="41"/>
      <c r="K78" s="41">
        <v>1</v>
      </c>
      <c r="L78" s="41"/>
      <c r="M78" s="41"/>
      <c r="N78" s="41"/>
      <c r="O78" s="43">
        <f t="shared" si="14"/>
        <v>1</v>
      </c>
      <c r="P78" s="41"/>
      <c r="Q78" s="41">
        <v>2</v>
      </c>
      <c r="R78" s="41">
        <f t="shared" si="9"/>
        <v>2</v>
      </c>
      <c r="S78" s="10">
        <v>2</v>
      </c>
      <c r="T78" s="30">
        <v>0</v>
      </c>
      <c r="U78" s="3">
        <v>0</v>
      </c>
      <c r="V78" s="3">
        <v>1</v>
      </c>
      <c r="Z78" s="13">
        <f t="shared" si="10"/>
        <v>1</v>
      </c>
      <c r="AA78" s="14">
        <f t="shared" si="11"/>
        <v>0</v>
      </c>
      <c r="AB78" s="31">
        <f t="shared" si="12"/>
        <v>1</v>
      </c>
      <c r="AD78" s="3">
        <v>1</v>
      </c>
    </row>
    <row r="79" spans="1:30" s="3" customFormat="1" x14ac:dyDescent="0.3">
      <c r="A79" s="35">
        <v>76</v>
      </c>
      <c r="B79" s="36" t="s">
        <v>14</v>
      </c>
      <c r="C79" s="36" t="s">
        <v>69</v>
      </c>
      <c r="D79" s="36" t="s">
        <v>73</v>
      </c>
      <c r="E79" s="37" t="s">
        <v>17</v>
      </c>
      <c r="F79" s="41"/>
      <c r="G79" s="41"/>
      <c r="H79" s="41"/>
      <c r="I79" s="41"/>
      <c r="J79" s="41"/>
      <c r="K79" s="41">
        <v>2</v>
      </c>
      <c r="L79" s="41"/>
      <c r="M79" s="41"/>
      <c r="N79" s="41"/>
      <c r="O79" s="43">
        <f t="shared" si="14"/>
        <v>2</v>
      </c>
      <c r="P79" s="41"/>
      <c r="Q79" s="41">
        <v>2</v>
      </c>
      <c r="R79" s="41">
        <f t="shared" si="9"/>
        <v>2</v>
      </c>
      <c r="S79" s="10">
        <v>2</v>
      </c>
      <c r="T79" s="30">
        <v>0</v>
      </c>
      <c r="U79" s="3">
        <v>0</v>
      </c>
      <c r="V79" s="3">
        <v>2</v>
      </c>
      <c r="Z79" s="13">
        <f t="shared" si="10"/>
        <v>2</v>
      </c>
      <c r="AA79" s="14">
        <f t="shared" si="11"/>
        <v>0</v>
      </c>
      <c r="AB79" s="31">
        <f t="shared" si="12"/>
        <v>2</v>
      </c>
      <c r="AD79" s="3">
        <v>2</v>
      </c>
    </row>
    <row r="80" spans="1:30" s="3" customFormat="1" x14ac:dyDescent="0.3">
      <c r="A80" s="35">
        <v>77</v>
      </c>
      <c r="B80" s="36" t="s">
        <v>14</v>
      </c>
      <c r="C80" s="36" t="s">
        <v>33</v>
      </c>
      <c r="D80" s="36" t="s">
        <v>73</v>
      </c>
      <c r="E80" s="37" t="s">
        <v>17</v>
      </c>
      <c r="F80" s="41"/>
      <c r="G80" s="41"/>
      <c r="H80" s="41"/>
      <c r="I80" s="41"/>
      <c r="J80" s="41"/>
      <c r="K80" s="41">
        <v>1</v>
      </c>
      <c r="L80" s="41"/>
      <c r="M80" s="41"/>
      <c r="N80" s="41"/>
      <c r="O80" s="43">
        <f t="shared" si="14"/>
        <v>1</v>
      </c>
      <c r="P80" s="41"/>
      <c r="Q80" s="41">
        <v>2</v>
      </c>
      <c r="R80" s="41">
        <f t="shared" si="9"/>
        <v>2</v>
      </c>
      <c r="S80" s="10">
        <v>2</v>
      </c>
      <c r="T80" s="30">
        <v>0</v>
      </c>
      <c r="U80" s="3">
        <v>0</v>
      </c>
      <c r="V80" s="3">
        <v>1</v>
      </c>
      <c r="Z80" s="13">
        <f t="shared" si="10"/>
        <v>1</v>
      </c>
      <c r="AA80" s="14">
        <f t="shared" si="11"/>
        <v>0</v>
      </c>
      <c r="AB80" s="31">
        <f t="shared" si="12"/>
        <v>1</v>
      </c>
      <c r="AD80" s="3">
        <v>1</v>
      </c>
    </row>
    <row r="81" spans="1:30" s="3" customFormat="1" x14ac:dyDescent="0.3">
      <c r="A81" s="35">
        <v>78</v>
      </c>
      <c r="B81" s="36" t="s">
        <v>14</v>
      </c>
      <c r="C81" s="36" t="s">
        <v>35</v>
      </c>
      <c r="D81" s="36" t="s">
        <v>73</v>
      </c>
      <c r="E81" s="37" t="s">
        <v>17</v>
      </c>
      <c r="F81" s="41"/>
      <c r="G81" s="41"/>
      <c r="H81" s="41"/>
      <c r="I81" s="41"/>
      <c r="J81" s="41"/>
      <c r="K81" s="41">
        <v>6</v>
      </c>
      <c r="L81" s="41"/>
      <c r="M81" s="41"/>
      <c r="N81" s="41"/>
      <c r="O81" s="43">
        <f t="shared" si="14"/>
        <v>6</v>
      </c>
      <c r="P81" s="41"/>
      <c r="Q81" s="41">
        <v>2</v>
      </c>
      <c r="R81" s="41">
        <f t="shared" si="9"/>
        <v>2</v>
      </c>
      <c r="S81" s="10">
        <v>2</v>
      </c>
      <c r="T81" s="30">
        <v>0</v>
      </c>
      <c r="U81" s="3">
        <v>0</v>
      </c>
      <c r="V81" s="3">
        <v>6</v>
      </c>
      <c r="Z81" s="13">
        <f t="shared" si="10"/>
        <v>6</v>
      </c>
      <c r="AA81" s="14">
        <f t="shared" si="11"/>
        <v>0</v>
      </c>
      <c r="AB81" s="31">
        <f t="shared" si="12"/>
        <v>6</v>
      </c>
      <c r="AD81" s="3">
        <v>6</v>
      </c>
    </row>
    <row r="82" spans="1:30" s="3" customFormat="1" x14ac:dyDescent="0.3">
      <c r="A82" s="35">
        <v>79</v>
      </c>
      <c r="B82" s="36" t="s">
        <v>14</v>
      </c>
      <c r="C82" s="36" t="s">
        <v>36</v>
      </c>
      <c r="D82" s="36" t="s">
        <v>73</v>
      </c>
      <c r="E82" s="37" t="s">
        <v>17</v>
      </c>
      <c r="F82" s="41"/>
      <c r="G82" s="41"/>
      <c r="H82" s="41"/>
      <c r="I82" s="41"/>
      <c r="J82" s="41"/>
      <c r="K82" s="41">
        <v>6</v>
      </c>
      <c r="L82" s="41"/>
      <c r="M82" s="41"/>
      <c r="N82" s="41"/>
      <c r="O82" s="43">
        <f t="shared" si="14"/>
        <v>6</v>
      </c>
      <c r="P82" s="41"/>
      <c r="Q82" s="41">
        <v>2</v>
      </c>
      <c r="R82" s="41">
        <f t="shared" si="9"/>
        <v>2</v>
      </c>
      <c r="S82" s="10">
        <v>2</v>
      </c>
      <c r="T82" s="30">
        <v>0</v>
      </c>
      <c r="U82" s="3">
        <v>0</v>
      </c>
      <c r="V82" s="3">
        <v>6</v>
      </c>
      <c r="Z82" s="13">
        <f t="shared" si="10"/>
        <v>6</v>
      </c>
      <c r="AA82" s="14">
        <f t="shared" si="11"/>
        <v>0</v>
      </c>
      <c r="AB82" s="31">
        <f t="shared" si="12"/>
        <v>6</v>
      </c>
      <c r="AD82" s="3">
        <v>6</v>
      </c>
    </row>
    <row r="83" spans="1:30" s="3" customFormat="1" x14ac:dyDescent="0.3">
      <c r="A83" s="35">
        <v>80</v>
      </c>
      <c r="B83" s="36" t="s">
        <v>14</v>
      </c>
      <c r="C83" s="36" t="s">
        <v>37</v>
      </c>
      <c r="D83" s="36" t="s">
        <v>73</v>
      </c>
      <c r="E83" s="37" t="s">
        <v>17</v>
      </c>
      <c r="F83" s="41"/>
      <c r="G83" s="41"/>
      <c r="H83" s="41"/>
      <c r="I83" s="41"/>
      <c r="J83" s="41"/>
      <c r="K83" s="41">
        <v>2</v>
      </c>
      <c r="L83" s="41"/>
      <c r="M83" s="41"/>
      <c r="N83" s="41"/>
      <c r="O83" s="43">
        <f t="shared" si="14"/>
        <v>2</v>
      </c>
      <c r="P83" s="41"/>
      <c r="Q83" s="41">
        <v>2</v>
      </c>
      <c r="R83" s="41">
        <f t="shared" si="9"/>
        <v>2</v>
      </c>
      <c r="S83" s="10">
        <v>2</v>
      </c>
      <c r="T83" s="30">
        <v>0</v>
      </c>
      <c r="U83" s="3">
        <v>0</v>
      </c>
      <c r="V83" s="3">
        <v>2</v>
      </c>
      <c r="Z83" s="13">
        <f t="shared" si="10"/>
        <v>2</v>
      </c>
      <c r="AA83" s="14">
        <f t="shared" si="11"/>
        <v>0</v>
      </c>
      <c r="AB83" s="31">
        <f t="shared" si="12"/>
        <v>2</v>
      </c>
      <c r="AD83" s="3">
        <v>2</v>
      </c>
    </row>
    <row r="84" spans="1:30" s="3" customFormat="1" x14ac:dyDescent="0.3">
      <c r="A84" s="35">
        <v>81</v>
      </c>
      <c r="B84" s="36" t="s">
        <v>14</v>
      </c>
      <c r="C84" s="36" t="s">
        <v>38</v>
      </c>
      <c r="D84" s="36" t="s">
        <v>73</v>
      </c>
      <c r="E84" s="37" t="s">
        <v>17</v>
      </c>
      <c r="F84" s="41"/>
      <c r="G84" s="41"/>
      <c r="H84" s="41"/>
      <c r="I84" s="41"/>
      <c r="J84" s="41"/>
      <c r="K84" s="41">
        <v>2</v>
      </c>
      <c r="L84" s="41"/>
      <c r="M84" s="41"/>
      <c r="N84" s="41"/>
      <c r="O84" s="43">
        <f t="shared" si="14"/>
        <v>2</v>
      </c>
      <c r="P84" s="41"/>
      <c r="Q84" s="41">
        <v>2</v>
      </c>
      <c r="R84" s="41">
        <f t="shared" si="9"/>
        <v>2</v>
      </c>
      <c r="S84" s="10">
        <v>2</v>
      </c>
      <c r="T84" s="30">
        <v>0</v>
      </c>
      <c r="U84" s="3">
        <v>0</v>
      </c>
      <c r="V84" s="3">
        <v>2</v>
      </c>
      <c r="Z84" s="13">
        <f t="shared" si="10"/>
        <v>2</v>
      </c>
      <c r="AA84" s="14">
        <f t="shared" si="11"/>
        <v>0</v>
      </c>
      <c r="AB84" s="31">
        <f t="shared" si="12"/>
        <v>2</v>
      </c>
      <c r="AD84" s="3">
        <v>2</v>
      </c>
    </row>
    <row r="85" spans="1:30" s="3" customFormat="1" x14ac:dyDescent="0.3">
      <c r="A85" s="35">
        <v>82</v>
      </c>
      <c r="B85" s="36" t="s">
        <v>14</v>
      </c>
      <c r="C85" s="36" t="s">
        <v>39</v>
      </c>
      <c r="D85" s="36" t="s">
        <v>73</v>
      </c>
      <c r="E85" s="37" t="s">
        <v>17</v>
      </c>
      <c r="F85" s="41"/>
      <c r="G85" s="41"/>
      <c r="H85" s="41"/>
      <c r="I85" s="41"/>
      <c r="J85" s="41"/>
      <c r="K85" s="41">
        <v>1</v>
      </c>
      <c r="L85" s="41"/>
      <c r="M85" s="41"/>
      <c r="N85" s="41"/>
      <c r="O85" s="43">
        <f t="shared" si="14"/>
        <v>1</v>
      </c>
      <c r="P85" s="41"/>
      <c r="Q85" s="41">
        <v>2</v>
      </c>
      <c r="R85" s="41">
        <f t="shared" si="9"/>
        <v>2</v>
      </c>
      <c r="S85" s="10">
        <v>2</v>
      </c>
      <c r="T85" s="30">
        <v>0</v>
      </c>
      <c r="U85" s="3">
        <v>0</v>
      </c>
      <c r="V85" s="3">
        <v>1</v>
      </c>
      <c r="Z85" s="13">
        <f t="shared" si="10"/>
        <v>1</v>
      </c>
      <c r="AA85" s="14">
        <f t="shared" si="11"/>
        <v>0</v>
      </c>
      <c r="AB85" s="31">
        <f t="shared" si="12"/>
        <v>1</v>
      </c>
      <c r="AD85" s="3">
        <v>1</v>
      </c>
    </row>
    <row r="86" spans="1:30" x14ac:dyDescent="0.3">
      <c r="A86" s="17"/>
      <c r="B86" s="18"/>
      <c r="C86" s="19"/>
      <c r="D86" s="20"/>
      <c r="E86" s="19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9"/>
      <c r="Q86" s="29"/>
      <c r="T86" s="30"/>
    </row>
    <row r="87" spans="1:30" x14ac:dyDescent="0.3">
      <c r="A87" s="22"/>
      <c r="B87" s="23"/>
      <c r="C87" s="24"/>
      <c r="D87" s="25"/>
      <c r="E87" s="24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9"/>
      <c r="Q87" s="29"/>
      <c r="T87" s="30"/>
    </row>
  </sheetData>
  <autoFilter ref="A3:WTU85" xr:uid="{00000000-0001-0000-0000-000000000000}"/>
  <dataConsolidate/>
  <mergeCells count="3">
    <mergeCell ref="A2:C2"/>
    <mergeCell ref="S2:Z2"/>
    <mergeCell ref="P2:R2"/>
  </mergeCells>
  <phoneticPr fontId="4" type="noConversion"/>
  <conditionalFormatting sqref="AA3:AA85">
    <cfRule type="cellIs" dxfId="0" priority="1" operator="lessThan">
      <formula>0</formula>
    </cfRule>
  </conditionalFormatting>
  <printOptions horizontalCentered="1"/>
  <pageMargins left="0.47244094488188981" right="0.31496062992125984" top="0.39370078740157483" bottom="0.42" header="0.43307086614173229" footer="0.17"/>
  <pageSetup paperSize="8" scale="90" fitToHeight="0" orientation="landscape" r:id="rId1"/>
  <headerFooter alignWithMargins="0">
    <oddFooter>&amp;C第 &amp;P 頁，共 &amp;N 頁&amp;RR-7-03-02A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GASKET</vt:lpstr>
      <vt:lpstr>GASKET!Print_Area</vt:lpstr>
      <vt:lpstr>GASKET!Print_Titles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a0813</cp:lastModifiedBy>
  <cp:lastPrinted>2025-05-26T03:41:30Z</cp:lastPrinted>
  <dcterms:created xsi:type="dcterms:W3CDTF">2013-07-05T02:12:06Z</dcterms:created>
  <dcterms:modified xsi:type="dcterms:W3CDTF">2026-01-16T03:17:00Z</dcterms:modified>
</cp:coreProperties>
</file>