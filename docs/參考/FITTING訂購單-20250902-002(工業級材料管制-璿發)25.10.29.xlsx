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.50\3勝一\SE-39(彰濱)-消防管+工業級\02.工程材料\"/>
    </mc:Choice>
  </mc:AlternateContent>
  <xr:revisionPtr revIDLastSave="0" documentId="13_ncr:1_{10C9ACD7-EBF0-44B4-9195-839F8DD765B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ITTING" sheetId="4" r:id="rId1"/>
  </sheets>
  <definedNames>
    <definedName name="_xlnm._FilterDatabase" localSheetId="0" hidden="1">FITTING!$A$3:$WTF$458</definedName>
    <definedName name="_xlnm.Print_Area" localSheetId="0">FITTING!$A$1:$M$261</definedName>
    <definedName name="_xlnm.Print_Titles" localSheetId="0">FITTING!$3:$3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86" i="4" l="1"/>
  <c r="R364" i="4"/>
  <c r="K247" i="4" l="1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62" i="4"/>
  <c r="M262" i="4"/>
  <c r="K263" i="4"/>
  <c r="M263" i="4"/>
  <c r="K264" i="4"/>
  <c r="M264" i="4"/>
  <c r="K265" i="4"/>
  <c r="M265" i="4"/>
  <c r="K266" i="4"/>
  <c r="M266" i="4"/>
  <c r="K267" i="4"/>
  <c r="M267" i="4"/>
  <c r="K268" i="4"/>
  <c r="M268" i="4"/>
  <c r="K269" i="4"/>
  <c r="M269" i="4"/>
  <c r="K270" i="4"/>
  <c r="M270" i="4"/>
  <c r="K271" i="4"/>
  <c r="M271" i="4"/>
  <c r="K272" i="4"/>
  <c r="M272" i="4"/>
  <c r="K273" i="4"/>
  <c r="M273" i="4"/>
  <c r="K274" i="4"/>
  <c r="M274" i="4"/>
  <c r="K275" i="4"/>
  <c r="M275" i="4"/>
  <c r="K276" i="4"/>
  <c r="M276" i="4"/>
  <c r="K277" i="4"/>
  <c r="M277" i="4"/>
  <c r="K278" i="4"/>
  <c r="M278" i="4"/>
  <c r="K279" i="4"/>
  <c r="M279" i="4"/>
  <c r="K280" i="4"/>
  <c r="M280" i="4"/>
  <c r="K281" i="4"/>
  <c r="M281" i="4"/>
  <c r="K282" i="4"/>
  <c r="M282" i="4"/>
  <c r="K283" i="4"/>
  <c r="M283" i="4"/>
  <c r="K284" i="4"/>
  <c r="M284" i="4"/>
  <c r="K285" i="4"/>
  <c r="M285" i="4"/>
  <c r="K286" i="4"/>
  <c r="M286" i="4"/>
  <c r="K287" i="4"/>
  <c r="M287" i="4"/>
  <c r="K288" i="4"/>
  <c r="M288" i="4"/>
  <c r="K289" i="4"/>
  <c r="M289" i="4"/>
  <c r="K290" i="4"/>
  <c r="M290" i="4"/>
  <c r="K291" i="4"/>
  <c r="M291" i="4"/>
  <c r="K292" i="4"/>
  <c r="M292" i="4"/>
  <c r="K293" i="4"/>
  <c r="M293" i="4"/>
  <c r="K294" i="4"/>
  <c r="M294" i="4"/>
  <c r="K295" i="4"/>
  <c r="M295" i="4"/>
  <c r="K296" i="4"/>
  <c r="M296" i="4"/>
  <c r="K297" i="4"/>
  <c r="M297" i="4"/>
  <c r="K298" i="4"/>
  <c r="M298" i="4"/>
  <c r="K299" i="4"/>
  <c r="M299" i="4"/>
  <c r="K300" i="4"/>
  <c r="M300" i="4"/>
  <c r="K301" i="4"/>
  <c r="M301" i="4"/>
  <c r="K302" i="4"/>
  <c r="M302" i="4"/>
  <c r="K303" i="4"/>
  <c r="M303" i="4"/>
  <c r="K304" i="4"/>
  <c r="M304" i="4"/>
  <c r="K305" i="4"/>
  <c r="M305" i="4"/>
  <c r="K306" i="4"/>
  <c r="M306" i="4"/>
  <c r="K307" i="4"/>
  <c r="M307" i="4"/>
  <c r="K308" i="4"/>
  <c r="M308" i="4"/>
  <c r="K309" i="4"/>
  <c r="M309" i="4"/>
  <c r="K310" i="4"/>
  <c r="M310" i="4"/>
  <c r="K311" i="4"/>
  <c r="M311" i="4"/>
  <c r="K312" i="4"/>
  <c r="M312" i="4"/>
  <c r="K313" i="4"/>
  <c r="M313" i="4"/>
  <c r="K314" i="4"/>
  <c r="M314" i="4"/>
  <c r="K315" i="4"/>
  <c r="M315" i="4"/>
  <c r="K316" i="4"/>
  <c r="M316" i="4"/>
  <c r="K317" i="4"/>
  <c r="M317" i="4"/>
  <c r="K318" i="4"/>
  <c r="M318" i="4"/>
  <c r="K319" i="4"/>
  <c r="M319" i="4"/>
  <c r="K320" i="4"/>
  <c r="M320" i="4"/>
  <c r="K321" i="4"/>
  <c r="M321" i="4"/>
  <c r="K322" i="4"/>
  <c r="M322" i="4"/>
  <c r="K323" i="4"/>
  <c r="M323" i="4"/>
  <c r="K324" i="4"/>
  <c r="M324" i="4"/>
  <c r="K325" i="4"/>
  <c r="M325" i="4"/>
  <c r="K326" i="4"/>
  <c r="M326" i="4"/>
  <c r="K327" i="4"/>
  <c r="M327" i="4"/>
  <c r="K328" i="4"/>
  <c r="M328" i="4"/>
  <c r="K329" i="4"/>
  <c r="M329" i="4"/>
  <c r="K330" i="4"/>
  <c r="M330" i="4"/>
  <c r="K331" i="4"/>
  <c r="M331" i="4"/>
  <c r="K332" i="4"/>
  <c r="M332" i="4"/>
  <c r="K333" i="4"/>
  <c r="M333" i="4"/>
  <c r="K334" i="4"/>
  <c r="M334" i="4"/>
  <c r="K335" i="4"/>
  <c r="M335" i="4"/>
  <c r="K336" i="4"/>
  <c r="M336" i="4"/>
  <c r="K337" i="4"/>
  <c r="M337" i="4"/>
  <c r="K338" i="4"/>
  <c r="M338" i="4"/>
  <c r="K339" i="4"/>
  <c r="M339" i="4"/>
  <c r="K340" i="4"/>
  <c r="M340" i="4"/>
  <c r="K341" i="4"/>
  <c r="M341" i="4"/>
  <c r="K342" i="4"/>
  <c r="M342" i="4"/>
  <c r="K343" i="4"/>
  <c r="M343" i="4"/>
  <c r="K344" i="4"/>
  <c r="M344" i="4"/>
  <c r="K345" i="4"/>
  <c r="M345" i="4"/>
  <c r="K346" i="4"/>
  <c r="M346" i="4"/>
  <c r="L346" i="4" s="1"/>
  <c r="K347" i="4"/>
  <c r="M347" i="4"/>
  <c r="K348" i="4"/>
  <c r="M348" i="4"/>
  <c r="L348" i="4" s="1"/>
  <c r="K349" i="4"/>
  <c r="M349" i="4"/>
  <c r="K350" i="4"/>
  <c r="M350" i="4"/>
  <c r="K351" i="4"/>
  <c r="M351" i="4"/>
  <c r="K352" i="4"/>
  <c r="M352" i="4"/>
  <c r="K353" i="4"/>
  <c r="M353" i="4"/>
  <c r="K354" i="4"/>
  <c r="M354" i="4"/>
  <c r="K355" i="4"/>
  <c r="M355" i="4"/>
  <c r="K356" i="4"/>
  <c r="M356" i="4"/>
  <c r="L356" i="4" s="1"/>
  <c r="K357" i="4"/>
  <c r="M357" i="4"/>
  <c r="K358" i="4"/>
  <c r="M358" i="4"/>
  <c r="K359" i="4"/>
  <c r="M359" i="4"/>
  <c r="K360" i="4"/>
  <c r="M360" i="4"/>
  <c r="K361" i="4"/>
  <c r="M361" i="4"/>
  <c r="K362" i="4"/>
  <c r="M362" i="4"/>
  <c r="K363" i="4"/>
  <c r="M363" i="4"/>
  <c r="K364" i="4"/>
  <c r="M364" i="4"/>
  <c r="K365" i="4"/>
  <c r="M365" i="4"/>
  <c r="K366" i="4"/>
  <c r="M366" i="4"/>
  <c r="K367" i="4"/>
  <c r="M367" i="4"/>
  <c r="K368" i="4"/>
  <c r="M368" i="4"/>
  <c r="K369" i="4"/>
  <c r="M369" i="4"/>
  <c r="K370" i="4"/>
  <c r="M370" i="4"/>
  <c r="L370" i="4" s="1"/>
  <c r="K371" i="4"/>
  <c r="M371" i="4"/>
  <c r="K372" i="4"/>
  <c r="M372" i="4"/>
  <c r="K373" i="4"/>
  <c r="M373" i="4"/>
  <c r="K374" i="4"/>
  <c r="M374" i="4"/>
  <c r="K375" i="4"/>
  <c r="M375" i="4"/>
  <c r="K376" i="4"/>
  <c r="M376" i="4"/>
  <c r="K377" i="4"/>
  <c r="M377" i="4"/>
  <c r="K378" i="4"/>
  <c r="M378" i="4"/>
  <c r="L378" i="4" s="1"/>
  <c r="K379" i="4"/>
  <c r="M379" i="4"/>
  <c r="K380" i="4"/>
  <c r="M380" i="4"/>
  <c r="K381" i="4"/>
  <c r="M381" i="4"/>
  <c r="K382" i="4"/>
  <c r="M382" i="4"/>
  <c r="K383" i="4"/>
  <c r="M383" i="4"/>
  <c r="K384" i="4"/>
  <c r="M384" i="4"/>
  <c r="K385" i="4"/>
  <c r="M385" i="4"/>
  <c r="K386" i="4"/>
  <c r="M386" i="4"/>
  <c r="L386" i="4" s="1"/>
  <c r="K387" i="4"/>
  <c r="M387" i="4"/>
  <c r="K388" i="4"/>
  <c r="M388" i="4"/>
  <c r="L388" i="4" s="1"/>
  <c r="K389" i="4"/>
  <c r="M389" i="4"/>
  <c r="K390" i="4"/>
  <c r="M390" i="4"/>
  <c r="K391" i="4"/>
  <c r="M391" i="4"/>
  <c r="K392" i="4"/>
  <c r="M392" i="4"/>
  <c r="K393" i="4"/>
  <c r="M393" i="4"/>
  <c r="K394" i="4"/>
  <c r="M394" i="4"/>
  <c r="K395" i="4"/>
  <c r="M395" i="4"/>
  <c r="K396" i="4"/>
  <c r="M396" i="4"/>
  <c r="L396" i="4" s="1"/>
  <c r="K397" i="4"/>
  <c r="M397" i="4"/>
  <c r="K398" i="4"/>
  <c r="M398" i="4"/>
  <c r="K399" i="4"/>
  <c r="M399" i="4"/>
  <c r="K400" i="4"/>
  <c r="M400" i="4"/>
  <c r="K401" i="4"/>
  <c r="M401" i="4"/>
  <c r="K402" i="4"/>
  <c r="M402" i="4"/>
  <c r="L402" i="4" s="1"/>
  <c r="K403" i="4"/>
  <c r="M403" i="4"/>
  <c r="K404" i="4"/>
  <c r="M404" i="4"/>
  <c r="K405" i="4"/>
  <c r="M405" i="4"/>
  <c r="K406" i="4"/>
  <c r="M406" i="4"/>
  <c r="K407" i="4"/>
  <c r="M407" i="4"/>
  <c r="K408" i="4"/>
  <c r="M408" i="4"/>
  <c r="K409" i="4"/>
  <c r="M409" i="4"/>
  <c r="K410" i="4"/>
  <c r="M410" i="4"/>
  <c r="K411" i="4"/>
  <c r="M411" i="4"/>
  <c r="K412" i="4"/>
  <c r="M412" i="4"/>
  <c r="L412" i="4" s="1"/>
  <c r="K413" i="4"/>
  <c r="M413" i="4"/>
  <c r="K414" i="4"/>
  <c r="M414" i="4"/>
  <c r="K415" i="4"/>
  <c r="M415" i="4"/>
  <c r="K416" i="4"/>
  <c r="M416" i="4"/>
  <c r="K417" i="4"/>
  <c r="M417" i="4"/>
  <c r="K418" i="4"/>
  <c r="M418" i="4"/>
  <c r="L418" i="4" s="1"/>
  <c r="K419" i="4"/>
  <c r="M419" i="4"/>
  <c r="K420" i="4"/>
  <c r="M420" i="4"/>
  <c r="K421" i="4"/>
  <c r="M421" i="4"/>
  <c r="K422" i="4"/>
  <c r="M422" i="4"/>
  <c r="L422" i="4" s="1"/>
  <c r="K423" i="4"/>
  <c r="M423" i="4"/>
  <c r="K424" i="4"/>
  <c r="M424" i="4"/>
  <c r="K425" i="4"/>
  <c r="M425" i="4"/>
  <c r="K426" i="4"/>
  <c r="M426" i="4"/>
  <c r="K427" i="4"/>
  <c r="M427" i="4"/>
  <c r="K428" i="4"/>
  <c r="M428" i="4"/>
  <c r="L428" i="4" s="1"/>
  <c r="K429" i="4"/>
  <c r="M429" i="4"/>
  <c r="K430" i="4"/>
  <c r="M430" i="4"/>
  <c r="K431" i="4"/>
  <c r="M431" i="4"/>
  <c r="K432" i="4"/>
  <c r="M432" i="4"/>
  <c r="K433" i="4"/>
  <c r="M433" i="4"/>
  <c r="K434" i="4"/>
  <c r="M434" i="4"/>
  <c r="K435" i="4"/>
  <c r="M435" i="4"/>
  <c r="K436" i="4"/>
  <c r="M436" i="4"/>
  <c r="L436" i="4" s="1"/>
  <c r="K437" i="4"/>
  <c r="M437" i="4"/>
  <c r="K438" i="4"/>
  <c r="M438" i="4"/>
  <c r="L438" i="4" s="1"/>
  <c r="K439" i="4"/>
  <c r="M439" i="4"/>
  <c r="K440" i="4"/>
  <c r="M440" i="4"/>
  <c r="K441" i="4"/>
  <c r="M441" i="4"/>
  <c r="K442" i="4"/>
  <c r="M442" i="4"/>
  <c r="L442" i="4" s="1"/>
  <c r="K443" i="4"/>
  <c r="M443" i="4"/>
  <c r="K444" i="4"/>
  <c r="M444" i="4"/>
  <c r="K445" i="4"/>
  <c r="M445" i="4"/>
  <c r="K446" i="4"/>
  <c r="M446" i="4"/>
  <c r="K447" i="4"/>
  <c r="M447" i="4"/>
  <c r="K448" i="4"/>
  <c r="M448" i="4"/>
  <c r="K449" i="4"/>
  <c r="M449" i="4"/>
  <c r="K450" i="4"/>
  <c r="M450" i="4"/>
  <c r="K451" i="4"/>
  <c r="M451" i="4"/>
  <c r="K452" i="4"/>
  <c r="M452" i="4"/>
  <c r="L452" i="4" s="1"/>
  <c r="K453" i="4"/>
  <c r="M453" i="4"/>
  <c r="K454" i="4"/>
  <c r="M454" i="4"/>
  <c r="K455" i="4"/>
  <c r="M455" i="4"/>
  <c r="K456" i="4"/>
  <c r="M456" i="4"/>
  <c r="K457" i="4"/>
  <c r="M457" i="4"/>
  <c r="K458" i="4"/>
  <c r="M458" i="4"/>
  <c r="L458" i="4" s="1"/>
  <c r="L406" i="4" l="1"/>
  <c r="L366" i="4"/>
  <c r="L358" i="4"/>
  <c r="L350" i="4"/>
  <c r="L318" i="4"/>
  <c r="L286" i="4"/>
  <c r="L308" i="4"/>
  <c r="L338" i="4"/>
  <c r="L276" i="4"/>
  <c r="L456" i="4"/>
  <c r="L448" i="4"/>
  <c r="L306" i="4"/>
  <c r="L278" i="4"/>
  <c r="L336" i="4"/>
  <c r="L328" i="4"/>
  <c r="L266" i="4"/>
  <c r="L382" i="4"/>
  <c r="L450" i="4"/>
  <c r="L440" i="4"/>
  <c r="L430" i="4"/>
  <c r="L420" i="4"/>
  <c r="L410" i="4"/>
  <c r="L390" i="4"/>
  <c r="L342" i="4"/>
  <c r="L332" i="4"/>
  <c r="L322" i="4"/>
  <c r="L312" i="4"/>
  <c r="L292" i="4"/>
  <c r="L282" i="4"/>
  <c r="L340" i="4"/>
  <c r="L432" i="4"/>
  <c r="L408" i="4"/>
  <c r="L400" i="4"/>
  <c r="L392" i="4"/>
  <c r="L376" i="4"/>
  <c r="L368" i="4"/>
  <c r="L360" i="4"/>
  <c r="L352" i="4"/>
  <c r="L296" i="4"/>
  <c r="L268" i="4"/>
  <c r="L446" i="4"/>
  <c r="L262" i="4"/>
  <c r="L302" i="4"/>
  <c r="L429" i="4"/>
  <c r="L419" i="4"/>
  <c r="L399" i="4"/>
  <c r="L389" i="4"/>
  <c r="L379" i="4"/>
  <c r="L369" i="4"/>
  <c r="L359" i="4"/>
  <c r="L349" i="4"/>
  <c r="L339" i="4"/>
  <c r="L329" i="4"/>
  <c r="L319" i="4"/>
  <c r="L299" i="4"/>
  <c r="L289" i="4"/>
  <c r="L279" i="4"/>
  <c r="L457" i="4"/>
  <c r="L447" i="4"/>
  <c r="L437" i="4"/>
  <c r="L427" i="4"/>
  <c r="L417" i="4"/>
  <c r="L407" i="4"/>
  <c r="L397" i="4"/>
  <c r="L387" i="4"/>
  <c r="L377" i="4"/>
  <c r="L367" i="4"/>
  <c r="L357" i="4"/>
  <c r="L347" i="4"/>
  <c r="L337" i="4"/>
  <c r="L327" i="4"/>
  <c r="L317" i="4"/>
  <c r="L307" i="4"/>
  <c r="L297" i="4"/>
  <c r="L287" i="4"/>
  <c r="L277" i="4"/>
  <c r="L267" i="4"/>
  <c r="L455" i="4"/>
  <c r="L445" i="4"/>
  <c r="L435" i="4"/>
  <c r="L425" i="4"/>
  <c r="L415" i="4"/>
  <c r="L405" i="4"/>
  <c r="L395" i="4"/>
  <c r="L385" i="4"/>
  <c r="L375" i="4"/>
  <c r="L365" i="4"/>
  <c r="L355" i="4"/>
  <c r="L345" i="4"/>
  <c r="L335" i="4"/>
  <c r="L325" i="4"/>
  <c r="L315" i="4"/>
  <c r="L295" i="4"/>
  <c r="L285" i="4"/>
  <c r="L275" i="4"/>
  <c r="L265" i="4"/>
  <c r="L454" i="4"/>
  <c r="L434" i="4"/>
  <c r="L424" i="4"/>
  <c r="L414" i="4"/>
  <c r="L404" i="4"/>
  <c r="L394" i="4"/>
  <c r="L384" i="4"/>
  <c r="L374" i="4"/>
  <c r="L364" i="4"/>
  <c r="L354" i="4"/>
  <c r="L334" i="4"/>
  <c r="L324" i="4"/>
  <c r="L314" i="4"/>
  <c r="L304" i="4"/>
  <c r="L294" i="4"/>
  <c r="L284" i="4"/>
  <c r="L274" i="4"/>
  <c r="L264" i="4"/>
  <c r="L453" i="4"/>
  <c r="L443" i="4"/>
  <c r="L433" i="4"/>
  <c r="L423" i="4"/>
  <c r="L413" i="4"/>
  <c r="L403" i="4"/>
  <c r="L393" i="4"/>
  <c r="L383" i="4"/>
  <c r="L373" i="4"/>
  <c r="L363" i="4"/>
  <c r="L353" i="4"/>
  <c r="L343" i="4"/>
  <c r="L333" i="4"/>
  <c r="L323" i="4"/>
  <c r="L313" i="4"/>
  <c r="L303" i="4"/>
  <c r="L293" i="4"/>
  <c r="L283" i="4"/>
  <c r="L273" i="4"/>
  <c r="L451" i="4"/>
  <c r="L441" i="4"/>
  <c r="L431" i="4"/>
  <c r="L421" i="4"/>
  <c r="L411" i="4"/>
  <c r="L401" i="4"/>
  <c r="L391" i="4"/>
  <c r="L381" i="4"/>
  <c r="L371" i="4"/>
  <c r="L361" i="4"/>
  <c r="L351" i="4"/>
  <c r="L341" i="4"/>
  <c r="L331" i="4"/>
  <c r="L321" i="4"/>
  <c r="L311" i="4"/>
  <c r="L301" i="4"/>
  <c r="L291" i="4"/>
  <c r="L281" i="4"/>
  <c r="L271" i="4"/>
  <c r="L288" i="4"/>
  <c r="L305" i="4"/>
  <c r="L449" i="4"/>
  <c r="L439" i="4"/>
  <c r="L330" i="4"/>
  <c r="L320" i="4"/>
  <c r="L310" i="4"/>
  <c r="L300" i="4"/>
  <c r="L290" i="4"/>
  <c r="L270" i="4"/>
  <c r="L409" i="4"/>
  <c r="L372" i="4"/>
  <c r="L309" i="4"/>
  <c r="L272" i="4"/>
  <c r="L263" i="4"/>
  <c r="L269" i="4"/>
  <c r="L444" i="4"/>
  <c r="L426" i="4"/>
  <c r="L416" i="4"/>
  <c r="L398" i="4"/>
  <c r="L380" i="4"/>
  <c r="L362" i="4"/>
  <c r="L344" i="4"/>
  <c r="L326" i="4"/>
  <c r="L316" i="4"/>
  <c r="L298" i="4"/>
  <c r="L280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L236" i="4" s="1"/>
  <c r="M237" i="4"/>
  <c r="M238" i="4"/>
  <c r="M239" i="4"/>
  <c r="M240" i="4"/>
  <c r="M241" i="4"/>
  <c r="M242" i="4"/>
  <c r="M243" i="4"/>
  <c r="M244" i="4"/>
  <c r="M245" i="4"/>
  <c r="M246" i="4"/>
  <c r="M247" i="4"/>
  <c r="L247" i="4" s="1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5" i="4" l="1"/>
  <c r="K5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L24" i="4" l="1"/>
  <c r="L23" i="4"/>
  <c r="L245" i="4"/>
  <c r="L223" i="4"/>
  <c r="L244" i="4"/>
  <c r="L45" i="4"/>
  <c r="L22" i="4"/>
  <c r="L67" i="4"/>
  <c r="L170" i="4"/>
  <c r="L82" i="4"/>
  <c r="L44" i="4"/>
  <c r="L25" i="4"/>
  <c r="L211" i="4"/>
  <c r="L252" i="4"/>
  <c r="L212" i="4"/>
  <c r="L253" i="4"/>
  <c r="L147" i="4"/>
  <c r="L81" i="4"/>
  <c r="L190" i="4"/>
  <c r="L102" i="4"/>
  <c r="L36" i="4"/>
  <c r="L189" i="4"/>
  <c r="L188" i="4"/>
  <c r="L144" i="4"/>
  <c r="L78" i="4"/>
  <c r="L209" i="4"/>
  <c r="L186" i="4"/>
  <c r="L142" i="4"/>
  <c r="L120" i="4"/>
  <c r="L251" i="4"/>
  <c r="L185" i="4"/>
  <c r="L141" i="4"/>
  <c r="L250" i="4"/>
  <c r="L184" i="4"/>
  <c r="L140" i="4"/>
  <c r="L191" i="4"/>
  <c r="L103" i="4"/>
  <c r="L37" i="4"/>
  <c r="L146" i="4"/>
  <c r="L80" i="4"/>
  <c r="L145" i="4"/>
  <c r="L79" i="4"/>
  <c r="L232" i="4"/>
  <c r="L249" i="4"/>
  <c r="L227" i="4"/>
  <c r="L205" i="4"/>
  <c r="L183" i="4"/>
  <c r="L161" i="4"/>
  <c r="L139" i="4"/>
  <c r="L51" i="4"/>
  <c r="L248" i="4"/>
  <c r="L226" i="4"/>
  <c r="L204" i="4"/>
  <c r="L182" i="4"/>
  <c r="L160" i="4"/>
  <c r="L138" i="4"/>
  <c r="L94" i="4"/>
  <c r="L72" i="4"/>
  <c r="L50" i="4"/>
  <c r="L225" i="4"/>
  <c r="L203" i="4"/>
  <c r="L246" i="4"/>
  <c r="L224" i="4"/>
  <c r="L202" i="4"/>
  <c r="L194" i="4"/>
  <c r="L108" i="4"/>
  <c r="L149" i="4"/>
  <c r="L85" i="4"/>
  <c r="L43" i="4"/>
  <c r="L127" i="4"/>
  <c r="L63" i="4"/>
  <c r="L83" i="4"/>
  <c r="L19" i="4"/>
  <c r="L168" i="4"/>
  <c r="L61" i="4"/>
  <c r="L231" i="4"/>
  <c r="L17" i="4"/>
  <c r="L230" i="4"/>
  <c r="L208" i="4"/>
  <c r="L166" i="4"/>
  <c r="L123" i="4"/>
  <c r="L16" i="4"/>
  <c r="L207" i="4"/>
  <c r="L122" i="4"/>
  <c r="L58" i="4"/>
  <c r="L206" i="4"/>
  <c r="L143" i="4"/>
  <c r="L57" i="4"/>
  <c r="L99" i="4"/>
  <c r="L66" i="4"/>
  <c r="L129" i="4"/>
  <c r="L65" i="4"/>
  <c r="L107" i="4"/>
  <c r="L64" i="4"/>
  <c r="L42" i="4"/>
  <c r="L169" i="4"/>
  <c r="L105" i="4"/>
  <c r="L62" i="4"/>
  <c r="L104" i="4"/>
  <c r="L18" i="4"/>
  <c r="L187" i="4"/>
  <c r="L124" i="4"/>
  <c r="L39" i="4"/>
  <c r="L59" i="4"/>
  <c r="L121" i="4"/>
  <c r="L70" i="4"/>
  <c r="L132" i="4"/>
  <c r="L87" i="4"/>
  <c r="L86" i="4"/>
  <c r="L128" i="4"/>
  <c r="L21" i="4"/>
  <c r="L148" i="4"/>
  <c r="L106" i="4"/>
  <c r="L84" i="4"/>
  <c r="L20" i="4"/>
  <c r="L126" i="4"/>
  <c r="L41" i="4"/>
  <c r="L210" i="4"/>
  <c r="L125" i="4"/>
  <c r="L40" i="4"/>
  <c r="L167" i="4"/>
  <c r="L60" i="4"/>
  <c r="L38" i="4"/>
  <c r="L229" i="4"/>
  <c r="L165" i="4"/>
  <c r="L101" i="4"/>
  <c r="L15" i="4"/>
  <c r="L228" i="4"/>
  <c r="L164" i="4"/>
  <c r="L100" i="4"/>
  <c r="L163" i="4"/>
  <c r="L162" i="4"/>
  <c r="L98" i="4"/>
  <c r="L32" i="4"/>
  <c r="L220" i="4"/>
  <c r="L243" i="4"/>
  <c r="L222" i="4"/>
  <c r="L201" i="4"/>
  <c r="L181" i="4"/>
  <c r="L119" i="4"/>
  <c r="L97" i="4"/>
  <c r="L77" i="4"/>
  <c r="L56" i="4"/>
  <c r="L35" i="4"/>
  <c r="L14" i="4"/>
  <c r="L242" i="4"/>
  <c r="L221" i="4"/>
  <c r="L200" i="4"/>
  <c r="L180" i="4"/>
  <c r="L159" i="4"/>
  <c r="L118" i="4"/>
  <c r="L96" i="4"/>
  <c r="L76" i="4"/>
  <c r="L55" i="4"/>
  <c r="L34" i="4"/>
  <c r="L13" i="4"/>
  <c r="L241" i="4"/>
  <c r="L199" i="4"/>
  <c r="L179" i="4"/>
  <c r="L158" i="4"/>
  <c r="L137" i="4"/>
  <c r="L117" i="4"/>
  <c r="L95" i="4"/>
  <c r="L75" i="4"/>
  <c r="L54" i="4"/>
  <c r="L33" i="4"/>
  <c r="L12" i="4"/>
  <c r="L261" i="4"/>
  <c r="L240" i="4"/>
  <c r="L198" i="4"/>
  <c r="L178" i="4"/>
  <c r="L157" i="4"/>
  <c r="L136" i="4"/>
  <c r="L116" i="4"/>
  <c r="L74" i="4"/>
  <c r="L53" i="4"/>
  <c r="L11" i="4"/>
  <c r="L260" i="4"/>
  <c r="L239" i="4"/>
  <c r="L219" i="4"/>
  <c r="L197" i="4"/>
  <c r="L177" i="4"/>
  <c r="L156" i="4"/>
  <c r="L135" i="4"/>
  <c r="L115" i="4"/>
  <c r="L73" i="4"/>
  <c r="L52" i="4"/>
  <c r="L10" i="4"/>
  <c r="L259" i="4"/>
  <c r="L218" i="4"/>
  <c r="L176" i="4"/>
  <c r="L134" i="4"/>
  <c r="L93" i="4"/>
  <c r="L9" i="4"/>
  <c r="L258" i="4"/>
  <c r="L217" i="4"/>
  <c r="L175" i="4"/>
  <c r="L113" i="4"/>
  <c r="L71" i="4"/>
  <c r="L30" i="4"/>
  <c r="L257" i="4"/>
  <c r="L216" i="4"/>
  <c r="L174" i="4"/>
  <c r="L91" i="4"/>
  <c r="L7" i="4"/>
  <c r="L235" i="4"/>
  <c r="L173" i="4"/>
  <c r="L6" i="4"/>
  <c r="L255" i="4"/>
  <c r="L234" i="4"/>
  <c r="L214" i="4"/>
  <c r="L193" i="4"/>
  <c r="L172" i="4"/>
  <c r="L151" i="4"/>
  <c r="L131" i="4"/>
  <c r="L110" i="4"/>
  <c r="L89" i="4"/>
  <c r="L69" i="4"/>
  <c r="L47" i="4"/>
  <c r="L27" i="4"/>
  <c r="L5" i="4"/>
  <c r="L238" i="4"/>
  <c r="L196" i="4"/>
  <c r="L155" i="4"/>
  <c r="L114" i="4"/>
  <c r="L31" i="4"/>
  <c r="L237" i="4"/>
  <c r="L195" i="4"/>
  <c r="L154" i="4"/>
  <c r="L133" i="4"/>
  <c r="L92" i="4"/>
  <c r="L8" i="4"/>
  <c r="L153" i="4"/>
  <c r="L112" i="4"/>
  <c r="L49" i="4"/>
  <c r="L29" i="4"/>
  <c r="L256" i="4"/>
  <c r="L215" i="4"/>
  <c r="L152" i="4"/>
  <c r="L111" i="4"/>
  <c r="L90" i="4"/>
  <c r="L48" i="4"/>
  <c r="L28" i="4"/>
  <c r="L254" i="4"/>
  <c r="L233" i="4"/>
  <c r="L213" i="4"/>
  <c r="L192" i="4"/>
  <c r="L171" i="4"/>
  <c r="L150" i="4"/>
  <c r="L130" i="4"/>
  <c r="L109" i="4"/>
  <c r="L88" i="4"/>
  <c r="L68" i="4"/>
  <c r="L46" i="4"/>
  <c r="L26" i="4"/>
</calcChain>
</file>

<file path=xl/sharedStrings.xml><?xml version="1.0" encoding="utf-8"?>
<sst xmlns="http://schemas.openxmlformats.org/spreadsheetml/2006/main" count="1667" uniqueCount="413">
  <si>
    <t>項次</t>
  </si>
  <si>
    <t>單位</t>
  </si>
  <si>
    <t>備註</t>
  </si>
  <si>
    <t>合約數量</t>
    <phoneticPr fontId="4" type="noConversion"/>
  </si>
  <si>
    <t>材料管制單</t>
    <phoneticPr fontId="5" type="noConversion"/>
  </si>
  <si>
    <t>採購數量</t>
    <phoneticPr fontId="6" type="noConversion"/>
  </si>
  <si>
    <t>數量
(庫存)</t>
    <phoneticPr fontId="6" type="noConversion"/>
  </si>
  <si>
    <t>累計採購數量</t>
    <phoneticPr fontId="6" type="noConversion"/>
  </si>
  <si>
    <t>差異數量</t>
    <phoneticPr fontId="6" type="noConversion"/>
  </si>
  <si>
    <t>累計收料</t>
    <phoneticPr fontId="6" type="noConversion"/>
  </si>
  <si>
    <t>PC</t>
    <phoneticPr fontId="4" type="noConversion"/>
  </si>
  <si>
    <t>M</t>
    <phoneticPr fontId="4" type="noConversion"/>
  </si>
  <si>
    <t>圖面數量(8/22)</t>
    <phoneticPr fontId="4" type="noConversion"/>
  </si>
  <si>
    <t>交期20天</t>
  </si>
  <si>
    <t>交期7天</t>
  </si>
  <si>
    <t>交期30天</t>
  </si>
  <si>
    <t>訂購編號：20250902-002</t>
    <phoneticPr fontId="6" type="noConversion"/>
  </si>
  <si>
    <t>日期: 2025年 09月 02日</t>
    <phoneticPr fontId="6" type="noConversion"/>
  </si>
  <si>
    <t xml:space="preserve">品  名 及 規 格 </t>
  </si>
  <si>
    <t>尺寸</t>
  </si>
  <si>
    <t>一</t>
  </si>
  <si>
    <t>材料</t>
  </si>
  <si>
    <t>61-1</t>
  </si>
  <si>
    <t>45 ELBOW LR BW A234 GR.WPB SMLS SCH80 ASME B16.9</t>
  </si>
  <si>
    <t>EB-2"X45</t>
  </si>
  <si>
    <t>45 ELBOW LR BW A234 GR.WPB SMLS SCH40 ASME B16.9</t>
  </si>
  <si>
    <t>EB-3"X45</t>
  </si>
  <si>
    <t>EB-4"X45</t>
  </si>
  <si>
    <t>45 ELBOW LR BW A234 GR.WPB GALV. SMLS SCH40 ASME B16.9</t>
  </si>
  <si>
    <t>EB-6"X45</t>
  </si>
  <si>
    <t>EB-8"X45</t>
  </si>
  <si>
    <t>45 ELBOW LR BW A234 GR.WPB GALV. WELD STD ASME B16.9</t>
  </si>
  <si>
    <t>EB-14"X45</t>
  </si>
  <si>
    <t>45 ELBOW LR BW A403-WP304 SMLS SCH40S ASME B16.9</t>
  </si>
  <si>
    <t>45 ELBOW LR BW A403-WP304 WELD SCH10S ASME B16.9</t>
  </si>
  <si>
    <t>EB-16"X45</t>
  </si>
  <si>
    <t>EB-20"X45</t>
  </si>
  <si>
    <t>45 ELBOW LR BW A403-WP316L SMLS SCH40S ASME B16.9</t>
  </si>
  <si>
    <t>79-1</t>
  </si>
  <si>
    <t>45 ELBOW 3000# SW A105 ASME B16.11</t>
  </si>
  <si>
    <t>45 ELBOW 3000# SW A105 GALV. ASME B16.11</t>
  </si>
  <si>
    <t>ES-1"X45</t>
  </si>
  <si>
    <t>45 ELBOW 3000# SW A182-F304 ASME B16.11</t>
  </si>
  <si>
    <t>ES-3/4"X45</t>
  </si>
  <si>
    <t>ES-1.1/2"X45</t>
  </si>
  <si>
    <t>45 ELBOW 3000# SW A182-F316L ASME B16.11</t>
  </si>
  <si>
    <t>90 ELBOW LR BW A234 GR.WPB SMLS SCH40 ASME B16.9</t>
  </si>
  <si>
    <t>EB-2"X90</t>
  </si>
  <si>
    <t>EB-3"X90</t>
  </si>
  <si>
    <t>EB-4"X90</t>
  </si>
  <si>
    <t>EB-6"X90</t>
  </si>
  <si>
    <t>90 ELBOW LR BW A234 GR.WPB SMLS SCH80 ASME B16.9</t>
  </si>
  <si>
    <t>90 ELBOW LR BW A234 GR.WPB GALV. SMLS SCH40 ASME B16.9</t>
  </si>
  <si>
    <t>EB-8"X90</t>
  </si>
  <si>
    <t>90 ELBOW LR BW A234 GR.WPB GALV. WELD STD ASME B16.9</t>
  </si>
  <si>
    <t>EB-12"X90</t>
  </si>
  <si>
    <t>EB-14"X90</t>
  </si>
  <si>
    <t>90 ELBOW SR BW A234 GR.WPB GALV. WELD STD ASME B16.9</t>
  </si>
  <si>
    <t>EB-14"X90SR</t>
  </si>
  <si>
    <t>90 ELBOW LR BW A403-WP304 SMLS SCH40S ASME B16.9</t>
  </si>
  <si>
    <t>90 ELBOW LR BW A403-WP304 WELD SCH10S ASME B16.9</t>
  </si>
  <si>
    <t>EB-16"X90</t>
  </si>
  <si>
    <t>EB-20"X90</t>
  </si>
  <si>
    <t>90 ELBOW LR BW A403-WP316L SMLS SCH40S ASME B16.9</t>
  </si>
  <si>
    <t>EB-10"X90</t>
  </si>
  <si>
    <t>90 ELBOW SR BW A403-WP304 WELD SCH10S ASME B16.9</t>
  </si>
  <si>
    <t>EB-6"X90SR</t>
  </si>
  <si>
    <t>EB-10"X90SR</t>
  </si>
  <si>
    <t>EB-12"X90SR</t>
  </si>
  <si>
    <t>EB-20"X90SR</t>
  </si>
  <si>
    <t>90 ELBOW 3000# SCRD (FNPT) A105 GALV. ASME B16.11</t>
  </si>
  <si>
    <t>ET-1/2"X90</t>
  </si>
  <si>
    <t>ET-1"X90</t>
  </si>
  <si>
    <t>90 ELBOW 3000# SW A105 ASME B16.11</t>
  </si>
  <si>
    <t>ES-1/2"X90</t>
  </si>
  <si>
    <t>ES-3/4"X90</t>
  </si>
  <si>
    <t>ES-1"X90</t>
  </si>
  <si>
    <t>90 ELBOW 3000# SW A105 GALV. ASME B16.11</t>
  </si>
  <si>
    <t>ES-1.1/2"X90</t>
  </si>
  <si>
    <t>90 ELBOW 3000# SW A182-F304 ASME B16.11</t>
  </si>
  <si>
    <t>90 ELBOW 3000# SW A182-F316L ASME B16.11</t>
  </si>
  <si>
    <t>CAP BW A234 GR.WPB SMLS SCH40 ASME B16.9</t>
  </si>
  <si>
    <t>CB-4"</t>
  </si>
  <si>
    <t>CAP BW A234 GR.WPB SMLS SCH80 ASME B16.9</t>
  </si>
  <si>
    <t>CB-2"</t>
  </si>
  <si>
    <t>REDUCING TEE BW A234 GR.WPB SMLS SCH40 ASME B16.9</t>
  </si>
  <si>
    <t>TB-4"X2"</t>
  </si>
  <si>
    <t>TB-4"X3"</t>
  </si>
  <si>
    <t>TB-6"X3"</t>
  </si>
  <si>
    <t>TB-6"X4"</t>
  </si>
  <si>
    <t>REDUCING TEE BW A234 GR.WPB SMLS SCH40/SCH80 ASME B16.9</t>
  </si>
  <si>
    <t>TB-3"X2"</t>
  </si>
  <si>
    <t>REDUCING TEE BW A234 GR.WPB SMLS SCH80 ASME B16.9</t>
  </si>
  <si>
    <t>TB-2"X1"</t>
  </si>
  <si>
    <t>TB-2"X1.1/2"</t>
  </si>
  <si>
    <t>REDUCING TEE BW A234 GR.WPB GALV. SMLS SCH40 ASME B16.9</t>
  </si>
  <si>
    <t>TB-8"X4"</t>
  </si>
  <si>
    <t>TB-8"X6"</t>
  </si>
  <si>
    <t>REDUCING TEE BW A234 GR.WPB GALV. SMLS SCH40/SCH80 ASME B16.9</t>
  </si>
  <si>
    <t>TB-3"X1.1/2"</t>
  </si>
  <si>
    <t>REDUCING TEE BW A234 GR.WPB GALV. WELD STD ASME B16.9</t>
  </si>
  <si>
    <t>TB-14"X12"</t>
  </si>
  <si>
    <t>REDUCING TEE BW A403-WP304 SMLS SCH10S/SCH40S ASME B16.9</t>
  </si>
  <si>
    <t>REDUCING TEE BW A403-WP304 SMLS SCH40S ASME B16.9</t>
  </si>
  <si>
    <t>REDUCING TEE BW A403-WP304 WELD SCH10S ASME B16.9</t>
  </si>
  <si>
    <t>TB-14"X8"</t>
  </si>
  <si>
    <t>TB-20"X10"</t>
  </si>
  <si>
    <t>TB-20"X12"</t>
  </si>
  <si>
    <t>TB-20"X14"</t>
  </si>
  <si>
    <t>REDUCING TEE BW A403-WP316L SMLS SCH40S ASME B16.9</t>
  </si>
  <si>
    <t>REDUCING TEE 3000# SCRD (FNPT) A105 GALV. ASME B16.11</t>
  </si>
  <si>
    <t>TT-1"X3/4"</t>
  </si>
  <si>
    <t>REDUCING TEE 3000# SW A105 ASME B16.11</t>
  </si>
  <si>
    <t>TS-1"X3/4"</t>
  </si>
  <si>
    <t>REDUCING TEE 3000# SW A182-F304 ASME B16.11</t>
  </si>
  <si>
    <t>TS-1"X1/2"</t>
  </si>
  <si>
    <t>TS-1.1/2"X1"</t>
  </si>
  <si>
    <t>TS-1.1/2"X1/2"</t>
  </si>
  <si>
    <t>TS-1.1/2"X3/4"</t>
  </si>
  <si>
    <t>REDUCING TEE 3000# SW A182-F316L ASME B16.11</t>
  </si>
  <si>
    <t>TEE BW A234 GR.WPB SMLS SCH40 ASME B16.9</t>
  </si>
  <si>
    <t>TB-2"</t>
  </si>
  <si>
    <t>TB-3"</t>
  </si>
  <si>
    <t>TB-4"</t>
  </si>
  <si>
    <t>TEE BW A234 GR.WPB SMLS SCH80 ASME B16.9</t>
  </si>
  <si>
    <t>TEE BW A234 GR.WPB GALV. SMLS SCH40 ASME B16.9</t>
  </si>
  <si>
    <t>TB-6"</t>
  </si>
  <si>
    <t>TEE BW A234 GR.WPB GALV. WELD STD ASME B16.9</t>
  </si>
  <si>
    <t>TB-14"</t>
  </si>
  <si>
    <t>TEE 3000# SCRD (FNPT) A105 GALV. ASME B16.11</t>
  </si>
  <si>
    <t>TT-1"</t>
  </si>
  <si>
    <t>TEE 3000# SW A105 GALV. ASME B16.11</t>
  </si>
  <si>
    <t>TS-1"</t>
  </si>
  <si>
    <t>TEE 3000# SW A105 ASME B16.11</t>
  </si>
  <si>
    <t>TS-3/4"</t>
  </si>
  <si>
    <t>TEE BW A403-WP304 SMLS SCH40S ASME B16.9</t>
  </si>
  <si>
    <t>TEE BW A403-WP304 WELD SCH10S ASME B16.9</t>
  </si>
  <si>
    <t>TB-20"</t>
  </si>
  <si>
    <t>TB-8"</t>
  </si>
  <si>
    <t>TEE BW A403-WP316L SMLS SCH40S ASME B16.9</t>
  </si>
  <si>
    <t>TEE 3000# SW A182-F304 ASME B16.11</t>
  </si>
  <si>
    <t>TS-1.1/2"</t>
  </si>
  <si>
    <t>TEE 3000# SW A182-F316L ASME B16.11</t>
  </si>
  <si>
    <t>WELDOLET BW A105 GALV. SMLS SCH40 MSS SP-97</t>
  </si>
  <si>
    <t>WOL-14"X4"</t>
  </si>
  <si>
    <t>WOL-8"X3"</t>
  </si>
  <si>
    <t>REDUCER CONC BW A234 GR.WPB SMLS SCH40 ASME B16.9</t>
  </si>
  <si>
    <t>RC-4"X3"</t>
  </si>
  <si>
    <t>RC-6"X3"</t>
  </si>
  <si>
    <t>REDUCER CONC BW A234 GR.WPB SMLS SCH40/SCH80 ASME B16.9</t>
  </si>
  <si>
    <t>RC-3"X2"</t>
  </si>
  <si>
    <t>REDUCER CONC BW A234 GR.WPB GALV. SMLS SCH40 ASME B16.9</t>
  </si>
  <si>
    <t>RC-6"X4"</t>
  </si>
  <si>
    <t>REDUCER CONC BW A403-WP304 WELD SCH10S ASME B16.9</t>
  </si>
  <si>
    <t>RC-4"X2.1/2"</t>
  </si>
  <si>
    <t>REDUCER CONC BW A403-WP304 SMLS SCH10S/SCH40S ASME B16.9</t>
  </si>
  <si>
    <t>RC-4"X2"</t>
  </si>
  <si>
    <t>REDUCER CONC BW A403-WP304 SMLS SCH40S ASME B16.9</t>
  </si>
  <si>
    <t>REDUCER CONC BW A403-WP316L SMLS SCH40S ASME B16.9</t>
  </si>
  <si>
    <t>RC-12"X10"</t>
  </si>
  <si>
    <t>REDUCER ECC BW A234 GR.WPB SMLS SCH40 ASME B16.9</t>
  </si>
  <si>
    <t>RE-3"X2"</t>
  </si>
  <si>
    <t>RE-4"X3"</t>
  </si>
  <si>
    <t>236-1</t>
  </si>
  <si>
    <t>RE-6"X3"</t>
  </si>
  <si>
    <t>REDUCER ECC BW A234 GR.WPB SMLS SCH40/SCH80 ASME B16.9</t>
  </si>
  <si>
    <t>RE-4"X2"</t>
  </si>
  <si>
    <t>REDUCER ECC BW A234 GR.WPB GALV. SMLS SCH40 ASME B16.9</t>
  </si>
  <si>
    <t>REDUCER ECC BW A403-WP304 WELD SCH10S ASME B16.9</t>
  </si>
  <si>
    <t>RE-16"X14"</t>
  </si>
  <si>
    <t>RE-20"X16"</t>
  </si>
  <si>
    <t>RE-4"X2.1/2"</t>
  </si>
  <si>
    <t>RE-6"X2.1/2"</t>
  </si>
  <si>
    <t>RE-6"X5"</t>
  </si>
  <si>
    <t>RE-8"X6"</t>
  </si>
  <si>
    <t>REDUCER ECC BW A403-WP304 SMLS SCH10S/SCH40S ASME B16.9</t>
  </si>
  <si>
    <t>REDUCER ECC BW A403-WP304 SMLS SCH40S ASME B16.9</t>
  </si>
  <si>
    <t>RE-3"X2.1/2"</t>
  </si>
  <si>
    <t>RE-6"X4"</t>
  </si>
  <si>
    <t>REDUCER ECC BW A403-WP316L SMLS SCH40S ASME B16.9</t>
  </si>
  <si>
    <t>WELDOLET BW A182-F304 SMLS SCH10S MSS SP-97</t>
  </si>
  <si>
    <t>WOL-14"X6"</t>
  </si>
  <si>
    <t>WOL-16"X8"</t>
  </si>
  <si>
    <t>WOL-20"X4"</t>
  </si>
  <si>
    <t>WELDOLET BW A182-F304 SMLS SCH40S MSS SP-97</t>
  </si>
  <si>
    <t>WOL-20"X2"</t>
  </si>
  <si>
    <t>WOL-6"X2"</t>
  </si>
  <si>
    <t>WOL-8"X2"</t>
  </si>
  <si>
    <t>WELDOLET BW A182-F316L SMLS SCH40S MSS SP-97</t>
  </si>
  <si>
    <t>CAP 3000# SCRD (FNPT) A105 ASME B16.11</t>
  </si>
  <si>
    <t>CT-1"</t>
  </si>
  <si>
    <t>CT-3/4"</t>
  </si>
  <si>
    <t>CAP 3000# SCRD (FNPT) A105 GALV. ASME B16.11</t>
  </si>
  <si>
    <t>CAP 3000# SCRD (FNPT) A182-F304 ASME B16.11</t>
  </si>
  <si>
    <t>CAP 3000# SCRD (FNPT) A182-F316L ASME B16.11</t>
  </si>
  <si>
    <t>CT-1/2"</t>
  </si>
  <si>
    <t>FULL COUPLING 3000# SCRD (FNPT) A105 GALV. ASME B16.11</t>
  </si>
  <si>
    <t>CFT-1"</t>
  </si>
  <si>
    <t>CFT-1.1/2"</t>
  </si>
  <si>
    <t>FULL COUPLING 3000# SCRD (FNPT) A182-F304 ASME B16.11</t>
  </si>
  <si>
    <t>CFT-1/2"</t>
  </si>
  <si>
    <t>FULL COUPLING 3000# SW A105 ASME B16.11</t>
  </si>
  <si>
    <t>CFS-1"</t>
  </si>
  <si>
    <t>CFS-3/4"</t>
  </si>
  <si>
    <t>FULL COUPLING 3000# SW A105 GALV. ASME B16.11</t>
  </si>
  <si>
    <t>282-1</t>
  </si>
  <si>
    <t>FULL COUPLING 3000# SW A182-F304 ASME B16.11</t>
  </si>
  <si>
    <t>CFS-1.1/2"</t>
  </si>
  <si>
    <t>CFS-1.1/4"</t>
  </si>
  <si>
    <t>FULL COUPLING 3000# SW A182-F316L ASME B16.11</t>
  </si>
  <si>
    <t>NIPPLE (L=100MM) TBE(NPT) A106 GR.B GALV. SMLS SCH80 ASME B36.10M</t>
  </si>
  <si>
    <t>NIP-3/4"X100LXTBE</t>
  </si>
  <si>
    <t>NIPPLE (L=100MM) TOE(NPT) A106 GR.B GALV. SMLS SCH80 ASME B36.10M</t>
  </si>
  <si>
    <t>NIP-1"X100LXTOE</t>
  </si>
  <si>
    <t>NIP-3/4"X100LXTOE</t>
  </si>
  <si>
    <t>NIPPLE (L=100MM) TOE(NPT) A106 GR.B SMLS SCH80 ASME B36.10M</t>
  </si>
  <si>
    <t>NIPPLE (L=100MM) TOE(NPT) A312-TP304 SMLS SCH80S ASME B36.19M</t>
  </si>
  <si>
    <t>NIP-1/2"X100LXTOE</t>
  </si>
  <si>
    <t>NIPPLE (L=100MM) TOE(NPT) A312-TP316L SMLS SCH80S ASME B36.19M</t>
  </si>
  <si>
    <t>SOCKOLET 3000# SW A105 GALV. MSS SP-97</t>
  </si>
  <si>
    <t>SOL-14"X3/4"</t>
  </si>
  <si>
    <t>SOL-2"X3/4"</t>
  </si>
  <si>
    <t>SOL-3"X1"</t>
  </si>
  <si>
    <t>SOL-4"X1"</t>
  </si>
  <si>
    <t>SOL-4"X1/2"</t>
  </si>
  <si>
    <t>SOL-4"X3/4"</t>
  </si>
  <si>
    <t>306-1</t>
  </si>
  <si>
    <t>SOL-4"X1.1/2"</t>
  </si>
  <si>
    <t>SOL-6"X1"</t>
  </si>
  <si>
    <t>SOL-6"X3/4"</t>
  </si>
  <si>
    <t>SOL-8"X3/4"</t>
  </si>
  <si>
    <t>SOCKOLET 3000# SW A105 MSS SP-97</t>
  </si>
  <si>
    <t>SOL-2"X1/2"</t>
  </si>
  <si>
    <t>SOL-3"X1/2"</t>
  </si>
  <si>
    <t>SOL-3"X3/4"</t>
  </si>
  <si>
    <t>SOL-6"X1/2"</t>
  </si>
  <si>
    <t>SOCKOLET 3000# SW A182-F304 MSS SP-97</t>
  </si>
  <si>
    <t>SOL-10"X1/2"</t>
  </si>
  <si>
    <t>SOL-14"X1"</t>
  </si>
  <si>
    <t>SOL-14"X1/2"</t>
  </si>
  <si>
    <t>SOL-16"X3/4"</t>
  </si>
  <si>
    <t>SOL-20"X1"</t>
  </si>
  <si>
    <t>SOL-20"X1.1/2"</t>
  </si>
  <si>
    <t>SOL-20"X1/2"</t>
  </si>
  <si>
    <t>SOL-20"X3/4"</t>
  </si>
  <si>
    <t>SOL-6"X1.1/2"</t>
  </si>
  <si>
    <t>SOL-8"X1"</t>
  </si>
  <si>
    <t>SOL-8"X1/2"</t>
  </si>
  <si>
    <t>SOCKOLET 3000# SW A182-F316L MSS SP-97</t>
  </si>
  <si>
    <t>SOL-10"X1"</t>
  </si>
  <si>
    <t>THREADOLET 3000# SCRD (NPT) A105 GALV. MSS SP-97</t>
  </si>
  <si>
    <t>TOL-2"X3/4"</t>
  </si>
  <si>
    <t>TOL-3"X1"</t>
  </si>
  <si>
    <t>TOL-3"X1/2"</t>
  </si>
  <si>
    <t>TOL-3"X3/4"</t>
  </si>
  <si>
    <t>THREADOLET 3000# SCRD (NPT) A182-F304 MSS SP-97</t>
  </si>
  <si>
    <t>TOL-8"X1.1/2"</t>
  </si>
  <si>
    <t>TOL-8"X1/2"</t>
  </si>
  <si>
    <t>SWAGE CONC BLE/PSE A234 GR.WPB GALV. SMLS SCH40/SCH80 MSS-SP-95</t>
  </si>
  <si>
    <t>SC-2"BX1"P</t>
  </si>
  <si>
    <t>SWAGE CONC BLE/PSE A234 GR.WPB SMLS SCH40/SCH80 MSS-SP-95</t>
  </si>
  <si>
    <t>SC-3"BX1.1/2"P</t>
  </si>
  <si>
    <t>357-1</t>
  </si>
  <si>
    <t>SWAGE CONC BLE/PSE A234 GR.WPB SMLS SCH80 MSS-SP-95</t>
  </si>
  <si>
    <t>SC-2"BX1.1/2"P</t>
  </si>
  <si>
    <t>SWAGE CONC BLE/PSE A403-WP304 SMLS SCH40S MSS-SP-95</t>
  </si>
  <si>
    <t>SC-3"BX1"P</t>
  </si>
  <si>
    <t>SC-3"BX1.1/4"P</t>
  </si>
  <si>
    <t>SWAGE CONC BLE/PSE A403-WP316L SMLS SCH40S MSS-SP-95</t>
  </si>
  <si>
    <t>SWAGE CONC BLE/TSE(NPT) A234 GR.WPB GALV. SMLS SCH40/SCH80 MSS-SP-95</t>
  </si>
  <si>
    <t>SC-2"BX1"T</t>
  </si>
  <si>
    <t>SWAGE CONC PBE A234 GR.WPB GALV. SMLS SCH80 MSS-SP-95</t>
  </si>
  <si>
    <t>SC-1"PX3/4"P</t>
  </si>
  <si>
    <t>SWAGE CONC PBE A234 GR.WPB SMLS SCH80 MSS-SP-95</t>
  </si>
  <si>
    <t>SWAGE CONC PBE A403-WP304 SMLS SCH40S MSS-SP-95</t>
  </si>
  <si>
    <t>SC-1"PX1/2"P</t>
  </si>
  <si>
    <t>SC-1.1/2"PX1"P</t>
  </si>
  <si>
    <t>SC-1.1/2"PX3/4"P</t>
  </si>
  <si>
    <t>SWAGE CONC PBE A403-WP316L SMLS SCH40S MSS-SP-95</t>
  </si>
  <si>
    <t>SWAGE CONC PLE/TSE(NPT) A403-WP304 SMLS SCH40S/SCH80S MSS-SP-95</t>
  </si>
  <si>
    <t>SC-1"PX3/4"T</t>
  </si>
  <si>
    <t>SC-1.1/2"PX1.1/4"T</t>
  </si>
  <si>
    <t>SWAGE CONC TBE(NPT) A234 GR.WPB GALV. SMLS SCH80 MSS-SP-95</t>
  </si>
  <si>
    <t>SC-1"TX3/4"T</t>
  </si>
  <si>
    <t>SWAGE ECC BLE/PSE A234 GR.WPB GALV. SMLS SCH40/SCH80 MSS-SP-95</t>
  </si>
  <si>
    <t>SE-2"BX1"P</t>
  </si>
  <si>
    <t>SWAGE ECC BLE/PSE A234 GR.WPB SMLS SCH40/SCH80 MSS-SP-95</t>
  </si>
  <si>
    <t>SE-3"BX1.1/2"P</t>
  </si>
  <si>
    <t>SWAGE ECC BLE/PSE A234 GR.WPB SMLS SCH80 MSS-SP-95</t>
  </si>
  <si>
    <t>SWAGE ECC BLE/PSE A403-WP304 SMLS SCH10S/SCH40S MSS-SP-95</t>
  </si>
  <si>
    <t>SE-3"BX1"P</t>
  </si>
  <si>
    <t>SWAGE ECC BLE/PSE A403-WP304 SMLS SCH40S MSS-SP-95</t>
  </si>
  <si>
    <t>SE-2"BX1.1/2"P</t>
  </si>
  <si>
    <t>SE-2"BX1.1/4"P</t>
  </si>
  <si>
    <t>SE-2"BX3/4"P</t>
  </si>
  <si>
    <t>SWAGE ECC BLE/PSE A403-WP316L SMLS SCH40S MSS-SP-95</t>
  </si>
  <si>
    <t>SWAGE ECC BLE/TSE(NPT) A234 GR.WPB GALV. SMLS SCH40/SCH80 MSS-SP-95</t>
  </si>
  <si>
    <t>SE-2"BX1"T</t>
  </si>
  <si>
    <t>SE-3"BX1.1/2"T</t>
  </si>
  <si>
    <t>SWAGE ECC PBE A234 GR.WPB GALV. SMLS SCH80 MSS-SP-95</t>
  </si>
  <si>
    <t>SE-1"PX3/4"P</t>
  </si>
  <si>
    <t>SWAGE ECC PBE A234 GR.WPB SMLS SCH80 MSS-SP-95</t>
  </si>
  <si>
    <t>SE-1"PX1/2"P</t>
  </si>
  <si>
    <t>395-1</t>
  </si>
  <si>
    <t>SWAGE ECC PBE A403-WP304 SMLS SCH40S MSS-SP-95</t>
  </si>
  <si>
    <t>SE-1.1/2"PX1"P</t>
  </si>
  <si>
    <t>SE-1.1/2"PX3/4"P</t>
  </si>
  <si>
    <t>SWAGE ECC PBE A403-WP316L SMLS SCH40S MSS-SP-95</t>
  </si>
  <si>
    <t>FLANGE SCRD(NPT) 150# RF A105 GALV. ASME B16.5</t>
  </si>
  <si>
    <t>FRT-1"</t>
  </si>
  <si>
    <t>FRT-1/2"</t>
  </si>
  <si>
    <t>FLANGE SW 150# RF A105 SCH80 BORE ASME B16.5</t>
  </si>
  <si>
    <t>FRSW-1"</t>
  </si>
  <si>
    <t>FLANGE SW 150# RF A105 GALV. SCH80 BORE ASME B16.5</t>
  </si>
  <si>
    <t>FRSW-1.1/2"</t>
  </si>
  <si>
    <t>FRSW-1/2"</t>
  </si>
  <si>
    <t>FRSW-3/4"</t>
  </si>
  <si>
    <t>FLANGE SW 150# RF A182-F304 SCH40S BORE ASME B16.5</t>
  </si>
  <si>
    <t>FRSW-1.1/4"</t>
  </si>
  <si>
    <t>FLANGE SW 150# RF A182-F316L SCH40S BORE ASME B16.5</t>
  </si>
  <si>
    <t>FLANGE SW 300# RF A105 SCH80 BORE ASME B16.5</t>
  </si>
  <si>
    <t>420-1</t>
  </si>
  <si>
    <t>FLANGE SW 300# RF A182-F304 SCH40S BORE ASME B16.5</t>
  </si>
  <si>
    <t>FRSW3-1/2"</t>
  </si>
  <si>
    <t>FRSW3-1"</t>
  </si>
  <si>
    <t>FRSW3-1.1/4"</t>
  </si>
  <si>
    <t>FLANGE WN 150# RF A105 STD BORE ASME B16.5</t>
  </si>
  <si>
    <t>FRWN-2"</t>
  </si>
  <si>
    <t>FRWN-3"</t>
  </si>
  <si>
    <t>FRWN-4"</t>
  </si>
  <si>
    <t>FRWN-6"</t>
  </si>
  <si>
    <t>FLANGE WN 150# RF A105 GALV. SCH40 BORE ASME B16.5</t>
  </si>
  <si>
    <t>FLANGE WN 150# RF A105 GALV. STD BORE ASME B16.5</t>
  </si>
  <si>
    <t>FRWN-12"</t>
  </si>
  <si>
    <t>FRWN-14"</t>
  </si>
  <si>
    <t>FRWN-8"</t>
  </si>
  <si>
    <t>FLANGE WN 150# RF A182-F304 SCH10S BORE ASME B16.5</t>
  </si>
  <si>
    <t>FRWN-10"</t>
  </si>
  <si>
    <t>FRWN-2.1/2"</t>
  </si>
  <si>
    <t>FRWN-20"</t>
  </si>
  <si>
    <t>FRWN-5"</t>
  </si>
  <si>
    <t>FLANGE WN 150# RF A182-F304 SCH40S BORE ASME B16.5</t>
  </si>
  <si>
    <t>FLANGE WN 150# RF A182-F316L SCH40S BORE ASME B16.5</t>
  </si>
  <si>
    <t>FLANGE WN 300# RF A105 SCH40 BORE ASME B16.5</t>
  </si>
  <si>
    <t>FLANGE WN 300# RF A105 STD BORE ASME B16.5</t>
  </si>
  <si>
    <t>FRWN3-2"</t>
  </si>
  <si>
    <t>FLANGE WN 300# RF A105 SCH80 BORE ASME B16.5</t>
  </si>
  <si>
    <t>FLANGE WN 300# RF A182-F316L SCH40S BORE ASME B16.5</t>
  </si>
  <si>
    <t>FRWN3-12"</t>
  </si>
  <si>
    <t>FRWN3-3"</t>
  </si>
  <si>
    <t>FRWN3-4"</t>
  </si>
  <si>
    <t>FRWN3-8"</t>
  </si>
  <si>
    <t>FLANGE SW 10K RF JIS B2220-F316L</t>
  </si>
  <si>
    <t>FRSW-1.1/2"-JIS</t>
  </si>
  <si>
    <t>FLANGE WN 10K RF JIS B2220-F316L</t>
  </si>
  <si>
    <t>FRWN-3"-JIS</t>
  </si>
  <si>
    <t>QUICK COUPLER FLANGE PIPE END (150# RF) SUS316L(母)</t>
  </si>
  <si>
    <t>QCCMA-3"</t>
  </si>
  <si>
    <t>QCCMA-4"</t>
  </si>
  <si>
    <t>FLANGE BLIND 150# RF A105 ASME B16.5</t>
  </si>
  <si>
    <t>FBR-2"</t>
  </si>
  <si>
    <t>FBR-3"</t>
  </si>
  <si>
    <t>FBR-4"</t>
  </si>
  <si>
    <t>FBR-6"</t>
  </si>
  <si>
    <t>FLANGE BLIND 150# RF A105 GALV. ASME B16.5</t>
  </si>
  <si>
    <t>FBR-3/4"</t>
  </si>
  <si>
    <t>FBR-1"</t>
  </si>
  <si>
    <t>FBR-8"</t>
  </si>
  <si>
    <t>FBR-14"</t>
  </si>
  <si>
    <t>FLANGE BLIND 150# RF A182-F304 ASME B16.5</t>
  </si>
  <si>
    <t>FBR-1.1/2"</t>
  </si>
  <si>
    <t>FBR-1/2"</t>
  </si>
  <si>
    <t>FBR-12"</t>
  </si>
  <si>
    <t>FBR-20"</t>
  </si>
  <si>
    <t>FLANGE BLIND 150# RF A182-F316L ASME B16.5</t>
  </si>
  <si>
    <t>FLANGE BLIND 300# RF A105 ASME B16.5</t>
  </si>
  <si>
    <t>SPECTACLE BLIND 150# RF A105 GALV. &lt;STD DWG.&gt;參考CTCI</t>
  </si>
  <si>
    <t>SB-4"</t>
  </si>
  <si>
    <t>SPECTACLE BLIND 150# RF A182-F316L &lt;STD DWG.&gt;參考CTCI</t>
  </si>
  <si>
    <t>SB-1"</t>
  </si>
  <si>
    <t>SB-1.1/2"</t>
  </si>
  <si>
    <t xml:space="preserve"> </t>
  </si>
  <si>
    <t xml:space="preserve">  </t>
  </si>
  <si>
    <t>SMLS代 交期20天</t>
  </si>
  <si>
    <t>SMLS代 交期7天</t>
  </si>
  <si>
    <t>交期14天</t>
  </si>
  <si>
    <t>JIS日規-FOR氮氣過濾器,交期20天</t>
  </si>
  <si>
    <t>收料數量
(9/5)</t>
    <phoneticPr fontId="6" type="noConversion"/>
  </si>
  <si>
    <t>收料數量
(9/9)</t>
    <phoneticPr fontId="6" type="noConversion"/>
  </si>
  <si>
    <t>收料數量
(9/10)</t>
    <phoneticPr fontId="6" type="noConversion"/>
  </si>
  <si>
    <t>收料數量
(9/11)</t>
    <phoneticPr fontId="6" type="noConversion"/>
  </si>
  <si>
    <t>收料數量
(9/15)</t>
    <phoneticPr fontId="6" type="noConversion"/>
  </si>
  <si>
    <t>收料數量
(9/19)</t>
    <phoneticPr fontId="6" type="noConversion"/>
  </si>
  <si>
    <t>收料數量
(9/22)</t>
    <phoneticPr fontId="6" type="noConversion"/>
  </si>
  <si>
    <t>收料數量
(9/23)</t>
    <phoneticPr fontId="6" type="noConversion"/>
  </si>
  <si>
    <t>數量
(9/2)</t>
    <phoneticPr fontId="6" type="noConversion"/>
  </si>
  <si>
    <t>數量
(9/24)</t>
    <phoneticPr fontId="4" type="noConversion"/>
  </si>
  <si>
    <t>收料數量
(9/24)</t>
    <phoneticPr fontId="6" type="noConversion"/>
  </si>
  <si>
    <t>收料數量
(9/25)</t>
    <phoneticPr fontId="6" type="noConversion"/>
  </si>
  <si>
    <t>收料數量
(9/26)</t>
    <phoneticPr fontId="6" type="noConversion"/>
  </si>
  <si>
    <t>收料數量
(9/30)</t>
    <phoneticPr fontId="6" type="noConversion"/>
  </si>
  <si>
    <t>收料數量
(10/3)</t>
    <phoneticPr fontId="6" type="noConversion"/>
  </si>
  <si>
    <t>收料數量
(10/8)</t>
    <phoneticPr fontId="6" type="noConversion"/>
  </si>
  <si>
    <t>收料數量
(10/14</t>
    <phoneticPr fontId="6" type="noConversion"/>
  </si>
  <si>
    <t>收料數量
(10/15</t>
    <phoneticPr fontId="6" type="noConversion"/>
  </si>
  <si>
    <t>收料數量
(10/16</t>
    <phoneticPr fontId="6" type="noConversion"/>
  </si>
  <si>
    <t>收料數量
(10/17</t>
    <phoneticPr fontId="6" type="noConversion"/>
  </si>
  <si>
    <t>收料數量
(10/21</t>
    <phoneticPr fontId="6" type="noConversion"/>
  </si>
  <si>
    <t>收料數量
(10/22</t>
    <phoneticPr fontId="6" type="noConversion"/>
  </si>
  <si>
    <t>收料數量
(10/2)</t>
    <phoneticPr fontId="6" type="noConversion"/>
  </si>
  <si>
    <t>收料數量
(10/09</t>
    <phoneticPr fontId="6" type="noConversion"/>
  </si>
  <si>
    <t>CFS-1/2"</t>
    <phoneticPr fontId="4" type="noConversion"/>
  </si>
  <si>
    <t>ES-1/2"X45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</si>
</sst>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76" formatCode="_-* #,##0_-;\-* #,##0_-;_-* &quot;-&quot;??_-;_-@_-"/>
  </numFmts>
  <fonts count="1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標楷體"/>
      <family val="4"/>
      <charset val="136"/>
    </font>
    <font>
      <sz val="22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name val="Times New Roman"/>
      <family val="1"/>
    </font>
    <font>
      <sz val="9"/>
      <name val="新細明體"/>
      <family val="1"/>
      <charset val="136"/>
    </font>
    <font>
      <sz val="11"/>
      <name val="標楷體"/>
      <family val="4"/>
      <charset val="136"/>
    </font>
    <font>
      <sz val="12"/>
      <color theme="1"/>
      <name val="標楷體"/>
      <family val="4"/>
      <charset val="136"/>
    </font>
    <font>
      <sz val="11"/>
      <name val="Times New Roman"/>
      <family val="1"/>
    </font>
    <font>
      <sz val="10"/>
      <color rgb="FF000000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indexed="8"/>
      <name val="微軟正黑體"/>
      <family val="2"/>
      <charset val="136"/>
    </font>
    <font>
      <sz val="10"/>
      <name val="標楷體"/>
      <family val="4"/>
      <charset val="136"/>
    </font>
    <font>
      <sz val="12"/>
      <color indexed="8"/>
      <name val="標楷體"/>
      <family val="4"/>
      <charset val="136"/>
    </font>
    <font>
      <sz val="12"/>
      <color indexed="10"/>
      <name val="標楷體"/>
      <family val="4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</fills>
  <borders count="1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5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/>
    <xf numFmtId="9" fontId="10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2" fillId="0" borderId="0" xfId="1">
      <alignment vertical="center"/>
    </xf>
    <xf numFmtId="0" fontId="2" fillId="0" borderId="0" xfId="1" applyAlignment="1"/>
    <xf numFmtId="0" fontId="7" fillId="0" borderId="0" xfId="1" applyFont="1">
      <alignment vertical="center"/>
    </xf>
    <xf numFmtId="0" fontId="7" fillId="0" borderId="0" xfId="1" applyFont="1" applyAlignment="1">
      <alignment horizontal="center" vertical="center"/>
    </xf>
    <xf numFmtId="176" fontId="2" fillId="0" borderId="0" xfId="8" applyNumberFormat="1" applyFont="1">
      <alignment vertical="center"/>
    </xf>
    <xf numFmtId="43" fontId="8" fillId="0" borderId="0" xfId="8" quotePrefix="1" applyFont="1" applyAlignment="1">
      <alignment horizontal="left"/>
    </xf>
    <xf numFmtId="43" fontId="2" fillId="0" borderId="0" xfId="8" applyFont="1">
      <alignment vertical="center"/>
    </xf>
    <xf numFmtId="0" fontId="2" fillId="0" borderId="0" xfId="1" applyAlignment="1">
      <alignment vertical="center" wrapText="1"/>
    </xf>
    <xf numFmtId="176" fontId="2" fillId="0" borderId="0" xfId="8" applyNumberFormat="1" applyFont="1" applyAlignment="1"/>
    <xf numFmtId="176" fontId="7" fillId="0" borderId="0" xfId="8" applyNumberFormat="1" applyFont="1">
      <alignment vertical="center"/>
    </xf>
    <xf numFmtId="176" fontId="7" fillId="0" borderId="0" xfId="8" applyNumberFormat="1" applyFont="1" applyAlignment="1">
      <alignment horizontal="center" vertical="center"/>
    </xf>
    <xf numFmtId="0" fontId="3" fillId="0" borderId="0" xfId="0" quotePrefix="1" applyFont="1" applyAlignment="1"/>
    <xf numFmtId="176" fontId="13" fillId="2" borderId="0" xfId="8" applyNumberFormat="1" applyFont="1" applyFill="1" applyAlignment="1">
      <alignment horizontal="center" wrapText="1"/>
    </xf>
    <xf numFmtId="176" fontId="7" fillId="0" borderId="0" xfId="1" applyNumberFormat="1" applyFont="1">
      <alignment vertical="center"/>
    </xf>
    <xf numFmtId="41" fontId="2" fillId="0" borderId="0" xfId="0" applyNumberFormat="1" applyFont="1" applyAlignment="1"/>
    <xf numFmtId="41" fontId="2" fillId="0" borderId="0" xfId="6" applyNumberFormat="1" applyFont="1" applyFill="1" applyBorder="1"/>
    <xf numFmtId="0" fontId="2" fillId="3" borderId="0" xfId="0" applyFont="1" applyFill="1" applyAlignment="1">
      <alignment horizontal="center"/>
    </xf>
    <xf numFmtId="41" fontId="2" fillId="3" borderId="3" xfId="6" applyNumberFormat="1" applyFont="1" applyFill="1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2" fillId="0" borderId="5" xfId="1" applyBorder="1" applyAlignment="1">
      <alignment horizontal="center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6" xfId="1" quotePrefix="1" applyBorder="1" applyAlignment="1">
      <alignment horizontal="center" vertical="center"/>
    </xf>
    <xf numFmtId="43" fontId="2" fillId="0" borderId="6" xfId="8" quotePrefix="1" applyFont="1" applyBorder="1" applyAlignment="1">
      <alignment horizontal="center" vertical="center" wrapText="1"/>
    </xf>
    <xf numFmtId="0" fontId="2" fillId="0" borderId="6" xfId="1" applyBorder="1" applyAlignment="1">
      <alignment horizontal="center" vertical="center"/>
    </xf>
    <xf numFmtId="176" fontId="7" fillId="0" borderId="7" xfId="8" applyNumberFormat="1" applyFont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2" fillId="0" borderId="1" xfId="1" quotePrefix="1" applyBorder="1" applyAlignment="1">
      <alignment horizontal="center" vertical="center"/>
    </xf>
    <xf numFmtId="43" fontId="2" fillId="0" borderId="1" xfId="8" quotePrefix="1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/>
    </xf>
    <xf numFmtId="176" fontId="7" fillId="0" borderId="4" xfId="8" applyNumberFormat="1" applyFont="1" applyBorder="1">
      <alignment vertical="center"/>
    </xf>
    <xf numFmtId="0" fontId="14" fillId="0" borderId="1" xfId="0" applyFont="1" applyBorder="1" applyAlignment="1">
      <alignment horizontal="left" vertical="center" wrapText="1"/>
    </xf>
    <xf numFmtId="0" fontId="2" fillId="0" borderId="1" xfId="1" quotePrefix="1" applyBorder="1" applyAlignment="1">
      <alignment horizontal="left" vertical="center" wrapText="1"/>
    </xf>
    <xf numFmtId="176" fontId="2" fillId="0" borderId="1" xfId="8" quotePrefix="1" applyNumberFormat="1" applyFont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2" fillId="0" borderId="2" xfId="1" applyBorder="1" applyAlignment="1">
      <alignment horizontal="center" vertical="center"/>
    </xf>
    <xf numFmtId="0" fontId="8" fillId="0" borderId="1" xfId="1" applyFont="1" applyBorder="1" applyAlignment="1">
      <alignment horizontal="left" vertical="top" wrapText="1"/>
    </xf>
    <xf numFmtId="0" fontId="2" fillId="0" borderId="2" xfId="1" applyBorder="1">
      <alignment vertical="center"/>
    </xf>
    <xf numFmtId="0" fontId="2" fillId="0" borderId="1" xfId="1" applyBorder="1" applyAlignment="1">
      <alignment vertical="center" wrapText="1"/>
    </xf>
    <xf numFmtId="0" fontId="2" fillId="0" borderId="1" xfId="1" applyBorder="1">
      <alignment vertical="center"/>
    </xf>
    <xf numFmtId="43" fontId="2" fillId="0" borderId="1" xfId="8" applyFont="1" applyBorder="1">
      <alignment vertical="center"/>
    </xf>
    <xf numFmtId="176" fontId="2" fillId="0" borderId="4" xfId="8" applyNumberFormat="1" applyFont="1" applyBorder="1">
      <alignment vertical="center"/>
    </xf>
    <xf numFmtId="0" fontId="2" fillId="0" borderId="8" xfId="1" applyBorder="1">
      <alignment vertical="center"/>
    </xf>
    <xf numFmtId="0" fontId="2" fillId="0" borderId="9" xfId="1" applyBorder="1" applyAlignment="1">
      <alignment vertical="center" wrapText="1"/>
    </xf>
    <xf numFmtId="0" fontId="2" fillId="0" borderId="9" xfId="1" applyBorder="1">
      <alignment vertical="center"/>
    </xf>
    <xf numFmtId="43" fontId="2" fillId="0" borderId="9" xfId="8" applyFont="1" applyBorder="1">
      <alignment vertical="center"/>
    </xf>
    <xf numFmtId="176" fontId="2" fillId="0" borderId="10" xfId="8" applyNumberFormat="1" applyFont="1" applyBorder="1">
      <alignment vertical="center"/>
    </xf>
    <xf numFmtId="176" fontId="13" fillId="2" borderId="0" xfId="8" applyNumberFormat="1" applyFont="1" applyFill="1" applyBorder="1" applyAlignment="1">
      <alignment horizontal="center" wrapText="1"/>
    </xf>
    <xf numFmtId="176" fontId="9" fillId="0" borderId="0" xfId="8" applyNumberFormat="1" applyFont="1" applyBorder="1" applyAlignment="1">
      <alignment horizontal="center" vertical="center"/>
    </xf>
    <xf numFmtId="176" fontId="3" fillId="0" borderId="0" xfId="8" quotePrefix="1" applyNumberFormat="1" applyFont="1" applyBorder="1" applyAlignment="1"/>
    <xf numFmtId="176" fontId="2" fillId="0" borderId="0" xfId="8" applyNumberFormat="1" applyFont="1" applyBorder="1" applyAlignment="1"/>
    <xf numFmtId="176" fontId="2" fillId="0" borderId="0" xfId="8" applyNumberFormat="1" applyFont="1" applyBorder="1">
      <alignment vertical="center"/>
    </xf>
    <xf numFmtId="0" fontId="7" fillId="3" borderId="0" xfId="1" applyFont="1" applyFill="1">
      <alignment vertical="center"/>
    </xf>
    <xf numFmtId="0" fontId="7" fillId="5" borderId="0" xfId="1" applyFont="1" applyFill="1">
      <alignment vertical="center"/>
    </xf>
    <xf numFmtId="0" fontId="2" fillId="3" borderId="0" xfId="1" applyFill="1">
      <alignment vertical="center"/>
    </xf>
    <xf numFmtId="0" fontId="2" fillId="5" borderId="0" xfId="1" applyFill="1">
      <alignment vertical="center"/>
    </xf>
    <xf numFmtId="0" fontId="2" fillId="0" borderId="0" xfId="1" quotePrefix="1" applyAlignment="1">
      <alignment horizontal="left"/>
    </xf>
    <xf numFmtId="176" fontId="2" fillId="0" borderId="0" xfId="8" applyNumberFormat="1" applyFont="1" applyAlignment="1">
      <alignment horizontal="center" vertical="center"/>
    </xf>
    <xf numFmtId="0" fontId="14" fillId="0" borderId="1" xfId="0" applyFont="1" applyFill="1" applyBorder="1" applyAlignment="1">
      <alignment horizontal="left" vertical="center" wrapText="1"/>
    </xf>
    <xf numFmtId="0" fontId="14" fillId="6" borderId="2" xfId="0" applyFont="1" applyFill="1" applyBorder="1" applyAlignment="1">
      <alignment horizontal="center" vertical="center"/>
    </xf>
  </cellXfs>
  <cellStyles count="25">
    <cellStyle name="一般" xfId="0" builtinId="0"/>
    <cellStyle name="一般 2" xfId="5" xr:uid="{00000000-0005-0000-0000-000001000000}"/>
    <cellStyle name="一般 2 2" xfId="1" xr:uid="{00000000-0005-0000-0000-000002000000}"/>
    <cellStyle name="一般 2 3" xfId="14" xr:uid="{06AA21AE-D46B-4963-ADC8-43DF701F49B0}"/>
    <cellStyle name="一般 2 4" xfId="12" xr:uid="{D0DB9807-250B-43C2-868F-54555DAA5921}"/>
    <cellStyle name="一般 3" xfId="4" xr:uid="{00000000-0005-0000-0000-000003000000}"/>
    <cellStyle name="千分位" xfId="8" builtinId="3"/>
    <cellStyle name="千分位 2" xfId="3" xr:uid="{00000000-0005-0000-0000-000005000000}"/>
    <cellStyle name="千分位 2 2" xfId="9" xr:uid="{CE25E828-7F3E-45C1-BF1E-C15E8B28BD63}"/>
    <cellStyle name="千分位 2 2 2" xfId="15" xr:uid="{0A27585A-0BD8-4337-AB88-9C4810BCD821}"/>
    <cellStyle name="千分位 2 2 2 2" xfId="24" xr:uid="{966C6FD1-A0A0-4290-BDFC-57D3E39C987E}"/>
    <cellStyle name="千分位 2 2 3" xfId="21" xr:uid="{DA3E1F02-1E65-4F53-8BD2-96C455F0208F}"/>
    <cellStyle name="千分位 2 3" xfId="11" xr:uid="{3A10886E-CAB1-4591-A78A-8802DF6F7453}"/>
    <cellStyle name="千分位 2 3 2" xfId="23" xr:uid="{7670EA5D-320B-4681-8AF8-E818F4643F62}"/>
    <cellStyle name="千分位 2 4" xfId="17" xr:uid="{EC529427-D3BB-4894-BCEA-D80097737992}"/>
    <cellStyle name="千分位 3" xfId="6" xr:uid="{00000000-0005-0000-0000-000006000000}"/>
    <cellStyle name="千分位 3 2" xfId="18" xr:uid="{B6405033-E2BC-4F30-B4C4-1844B025DF42}"/>
    <cellStyle name="千分位 4" xfId="20" xr:uid="{8DF142CA-83C5-4146-AC6E-B62329E58FDA}"/>
    <cellStyle name="千分位[0] 2" xfId="2" xr:uid="{00000000-0005-0000-0000-000007000000}"/>
    <cellStyle name="千分位[0] 2 2" xfId="10" xr:uid="{BAD4987A-3B66-48F7-9EEA-54A410582B75}"/>
    <cellStyle name="千分位[0] 2 2 2" xfId="22" xr:uid="{DB49AD7B-BC2A-4EA0-AC38-FB0F75E6DEE8}"/>
    <cellStyle name="千分位[0] 2 3" xfId="16" xr:uid="{1DC139FF-7E7E-4B52-9CAA-BCDCDD21978B}"/>
    <cellStyle name="千分位[0] 3" xfId="7" xr:uid="{00000000-0005-0000-0000-000008000000}"/>
    <cellStyle name="千分位[0] 3 2" xfId="19" xr:uid="{1994C1A5-AAB7-4C77-8C7F-2EE750CA9D2B}"/>
    <cellStyle name="百分比 2" xfId="13" xr:uid="{60577D5F-426A-438B-8DF5-0DA25C83CF3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pageSetUpPr fitToPage="1"/>
  </sheetPr>
  <dimension ref="A1:AI460"/>
  <sheetViews>
    <sheetView tabSelected="1" zoomScaleNormal="100" workbookViewId="0">
      <pane xSplit="4" ySplit="3" topLeftCell="E235" activePane="bottomRight" state="frozen"/>
      <selection pane="topRight" activeCell="E1" sqref="E1"/>
      <selection pane="bottomLeft" activeCell="A4" sqref="A4"/>
      <selection pane="bottomRight" activeCell="A243" sqref="A243:XFD243"/>
    </sheetView>
  </sheetViews>
  <sheetFormatPr defaultColWidth="10" defaultRowHeight="16.5" outlineLevelCol="1" x14ac:dyDescent="0.25"/>
  <cols>
    <col min="1" max="1" width="6.875" style="1" customWidth="1"/>
    <col min="2" max="2" width="62.25" style="8" customWidth="1"/>
    <col min="3" max="3" width="20.5" style="1" customWidth="1"/>
    <col min="4" max="4" width="6.625" style="7" customWidth="1"/>
    <col min="5" max="5" width="32.25" style="1" customWidth="1"/>
    <col min="6" max="6" width="11.625" style="5" customWidth="1"/>
    <col min="7" max="7" width="11.625" style="5" customWidth="1" outlineLevel="1"/>
    <col min="8" max="8" width="10.125" style="5" customWidth="1" outlineLevel="1"/>
    <col min="9" max="9" width="11" style="52" customWidth="1" outlineLevel="1"/>
    <col min="10" max="10" width="10" style="1" customWidth="1" outlineLevel="1"/>
    <col min="11" max="11" width="10" style="1" customWidth="1" outlineLevel="1" collapsed="1"/>
    <col min="12" max="12" width="10" style="1" customWidth="1"/>
    <col min="13" max="13" width="10" style="1"/>
    <col min="14" max="17" width="10" style="1" hidden="1" customWidth="1" outlineLevel="1"/>
    <col min="18" max="18" width="12.75" style="1" hidden="1" customWidth="1" outlineLevel="1"/>
    <col min="19" max="23" width="10" style="1" hidden="1" customWidth="1" outlineLevel="1"/>
    <col min="24" max="34" width="0" style="1" hidden="1" customWidth="1" outlineLevel="1"/>
    <col min="35" max="35" width="10" style="1" collapsed="1"/>
    <col min="36" max="189" width="10" style="1"/>
    <col min="190" max="190" width="6.125" style="1" customWidth="1"/>
    <col min="191" max="191" width="12.625" style="1" customWidth="1"/>
    <col min="192" max="192" width="15.625" style="1" customWidth="1"/>
    <col min="193" max="193" width="17.625" style="1" customWidth="1"/>
    <col min="194" max="194" width="9.875" style="1" customWidth="1"/>
    <col min="195" max="195" width="7.125" style="1" customWidth="1"/>
    <col min="196" max="196" width="8.875" style="1" customWidth="1"/>
    <col min="197" max="197" width="10.875" style="1" customWidth="1"/>
    <col min="198" max="198" width="8" style="1" customWidth="1"/>
    <col min="199" max="200" width="10" style="1" customWidth="1"/>
    <col min="201" max="201" width="12.875" style="1" customWidth="1"/>
    <col min="202" max="202" width="13.5" style="1" customWidth="1"/>
    <col min="203" max="445" width="10" style="1"/>
    <col min="446" max="446" width="6.125" style="1" customWidth="1"/>
    <col min="447" max="447" width="12.625" style="1" customWidth="1"/>
    <col min="448" max="448" width="15.625" style="1" customWidth="1"/>
    <col min="449" max="449" width="17.625" style="1" customWidth="1"/>
    <col min="450" max="450" width="9.875" style="1" customWidth="1"/>
    <col min="451" max="451" width="7.125" style="1" customWidth="1"/>
    <col min="452" max="452" width="8.875" style="1" customWidth="1"/>
    <col min="453" max="453" width="10.875" style="1" customWidth="1"/>
    <col min="454" max="454" width="8" style="1" customWidth="1"/>
    <col min="455" max="456" width="10" style="1" customWidth="1"/>
    <col min="457" max="457" width="12.875" style="1" customWidth="1"/>
    <col min="458" max="458" width="13.5" style="1" customWidth="1"/>
    <col min="459" max="701" width="10" style="1"/>
    <col min="702" max="702" width="6.125" style="1" customWidth="1"/>
    <col min="703" max="703" width="12.625" style="1" customWidth="1"/>
    <col min="704" max="704" width="15.625" style="1" customWidth="1"/>
    <col min="705" max="705" width="17.625" style="1" customWidth="1"/>
    <col min="706" max="706" width="9.875" style="1" customWidth="1"/>
    <col min="707" max="707" width="7.125" style="1" customWidth="1"/>
    <col min="708" max="708" width="8.875" style="1" customWidth="1"/>
    <col min="709" max="709" width="10.875" style="1" customWidth="1"/>
    <col min="710" max="710" width="8" style="1" customWidth="1"/>
    <col min="711" max="712" width="10" style="1" customWidth="1"/>
    <col min="713" max="713" width="12.875" style="1" customWidth="1"/>
    <col min="714" max="714" width="13.5" style="1" customWidth="1"/>
    <col min="715" max="957" width="10" style="1"/>
    <col min="958" max="958" width="6.125" style="1" customWidth="1"/>
    <col min="959" max="959" width="12.625" style="1" customWidth="1"/>
    <col min="960" max="960" width="15.625" style="1" customWidth="1"/>
    <col min="961" max="961" width="17.625" style="1" customWidth="1"/>
    <col min="962" max="962" width="9.875" style="1" customWidth="1"/>
    <col min="963" max="963" width="7.125" style="1" customWidth="1"/>
    <col min="964" max="964" width="8.875" style="1" customWidth="1"/>
    <col min="965" max="965" width="10.875" style="1" customWidth="1"/>
    <col min="966" max="966" width="8" style="1" customWidth="1"/>
    <col min="967" max="968" width="10" style="1" customWidth="1"/>
    <col min="969" max="969" width="12.875" style="1" customWidth="1"/>
    <col min="970" max="970" width="13.5" style="1" customWidth="1"/>
    <col min="971" max="1213" width="10" style="1"/>
    <col min="1214" max="1214" width="6.125" style="1" customWidth="1"/>
    <col min="1215" max="1215" width="12.625" style="1" customWidth="1"/>
    <col min="1216" max="1216" width="15.625" style="1" customWidth="1"/>
    <col min="1217" max="1217" width="17.625" style="1" customWidth="1"/>
    <col min="1218" max="1218" width="9.875" style="1" customWidth="1"/>
    <col min="1219" max="1219" width="7.125" style="1" customWidth="1"/>
    <col min="1220" max="1220" width="8.875" style="1" customWidth="1"/>
    <col min="1221" max="1221" width="10.875" style="1" customWidth="1"/>
    <col min="1222" max="1222" width="8" style="1" customWidth="1"/>
    <col min="1223" max="1224" width="10" style="1" customWidth="1"/>
    <col min="1225" max="1225" width="12.875" style="1" customWidth="1"/>
    <col min="1226" max="1226" width="13.5" style="1" customWidth="1"/>
    <col min="1227" max="1469" width="10" style="1"/>
    <col min="1470" max="1470" width="6.125" style="1" customWidth="1"/>
    <col min="1471" max="1471" width="12.625" style="1" customWidth="1"/>
    <col min="1472" max="1472" width="15.625" style="1" customWidth="1"/>
    <col min="1473" max="1473" width="17.625" style="1" customWidth="1"/>
    <col min="1474" max="1474" width="9.875" style="1" customWidth="1"/>
    <col min="1475" max="1475" width="7.125" style="1" customWidth="1"/>
    <col min="1476" max="1476" width="8.875" style="1" customWidth="1"/>
    <col min="1477" max="1477" width="10.875" style="1" customWidth="1"/>
    <col min="1478" max="1478" width="8" style="1" customWidth="1"/>
    <col min="1479" max="1480" width="10" style="1" customWidth="1"/>
    <col min="1481" max="1481" width="12.875" style="1" customWidth="1"/>
    <col min="1482" max="1482" width="13.5" style="1" customWidth="1"/>
    <col min="1483" max="1725" width="10" style="1"/>
    <col min="1726" max="1726" width="6.125" style="1" customWidth="1"/>
    <col min="1727" max="1727" width="12.625" style="1" customWidth="1"/>
    <col min="1728" max="1728" width="15.625" style="1" customWidth="1"/>
    <col min="1729" max="1729" width="17.625" style="1" customWidth="1"/>
    <col min="1730" max="1730" width="9.875" style="1" customWidth="1"/>
    <col min="1731" max="1731" width="7.125" style="1" customWidth="1"/>
    <col min="1732" max="1732" width="8.875" style="1" customWidth="1"/>
    <col min="1733" max="1733" width="10.875" style="1" customWidth="1"/>
    <col min="1734" max="1734" width="8" style="1" customWidth="1"/>
    <col min="1735" max="1736" width="10" style="1" customWidth="1"/>
    <col min="1737" max="1737" width="12.875" style="1" customWidth="1"/>
    <col min="1738" max="1738" width="13.5" style="1" customWidth="1"/>
    <col min="1739" max="1981" width="10" style="1"/>
    <col min="1982" max="1982" width="6.125" style="1" customWidth="1"/>
    <col min="1983" max="1983" width="12.625" style="1" customWidth="1"/>
    <col min="1984" max="1984" width="15.625" style="1" customWidth="1"/>
    <col min="1985" max="1985" width="17.625" style="1" customWidth="1"/>
    <col min="1986" max="1986" width="9.875" style="1" customWidth="1"/>
    <col min="1987" max="1987" width="7.125" style="1" customWidth="1"/>
    <col min="1988" max="1988" width="8.875" style="1" customWidth="1"/>
    <col min="1989" max="1989" width="10.875" style="1" customWidth="1"/>
    <col min="1990" max="1990" width="8" style="1" customWidth="1"/>
    <col min="1991" max="1992" width="10" style="1" customWidth="1"/>
    <col min="1993" max="1993" width="12.875" style="1" customWidth="1"/>
    <col min="1994" max="1994" width="13.5" style="1" customWidth="1"/>
    <col min="1995" max="2237" width="10" style="1"/>
    <col min="2238" max="2238" width="6.125" style="1" customWidth="1"/>
    <col min="2239" max="2239" width="12.625" style="1" customWidth="1"/>
    <col min="2240" max="2240" width="15.625" style="1" customWidth="1"/>
    <col min="2241" max="2241" width="17.625" style="1" customWidth="1"/>
    <col min="2242" max="2242" width="9.875" style="1" customWidth="1"/>
    <col min="2243" max="2243" width="7.125" style="1" customWidth="1"/>
    <col min="2244" max="2244" width="8.875" style="1" customWidth="1"/>
    <col min="2245" max="2245" width="10.875" style="1" customWidth="1"/>
    <col min="2246" max="2246" width="8" style="1" customWidth="1"/>
    <col min="2247" max="2248" width="10" style="1" customWidth="1"/>
    <col min="2249" max="2249" width="12.875" style="1" customWidth="1"/>
    <col min="2250" max="2250" width="13.5" style="1" customWidth="1"/>
    <col min="2251" max="2493" width="10" style="1"/>
    <col min="2494" max="2494" width="6.125" style="1" customWidth="1"/>
    <col min="2495" max="2495" width="12.625" style="1" customWidth="1"/>
    <col min="2496" max="2496" width="15.625" style="1" customWidth="1"/>
    <col min="2497" max="2497" width="17.625" style="1" customWidth="1"/>
    <col min="2498" max="2498" width="9.875" style="1" customWidth="1"/>
    <col min="2499" max="2499" width="7.125" style="1" customWidth="1"/>
    <col min="2500" max="2500" width="8.875" style="1" customWidth="1"/>
    <col min="2501" max="2501" width="10.875" style="1" customWidth="1"/>
    <col min="2502" max="2502" width="8" style="1" customWidth="1"/>
    <col min="2503" max="2504" width="10" style="1" customWidth="1"/>
    <col min="2505" max="2505" width="12.875" style="1" customWidth="1"/>
    <col min="2506" max="2506" width="13.5" style="1" customWidth="1"/>
    <col min="2507" max="2749" width="10" style="1"/>
    <col min="2750" max="2750" width="6.125" style="1" customWidth="1"/>
    <col min="2751" max="2751" width="12.625" style="1" customWidth="1"/>
    <col min="2752" max="2752" width="15.625" style="1" customWidth="1"/>
    <col min="2753" max="2753" width="17.625" style="1" customWidth="1"/>
    <col min="2754" max="2754" width="9.875" style="1" customWidth="1"/>
    <col min="2755" max="2755" width="7.125" style="1" customWidth="1"/>
    <col min="2756" max="2756" width="8.875" style="1" customWidth="1"/>
    <col min="2757" max="2757" width="10.875" style="1" customWidth="1"/>
    <col min="2758" max="2758" width="8" style="1" customWidth="1"/>
    <col min="2759" max="2760" width="10" style="1" customWidth="1"/>
    <col min="2761" max="2761" width="12.875" style="1" customWidth="1"/>
    <col min="2762" max="2762" width="13.5" style="1" customWidth="1"/>
    <col min="2763" max="3005" width="10" style="1"/>
    <col min="3006" max="3006" width="6.125" style="1" customWidth="1"/>
    <col min="3007" max="3007" width="12.625" style="1" customWidth="1"/>
    <col min="3008" max="3008" width="15.625" style="1" customWidth="1"/>
    <col min="3009" max="3009" width="17.625" style="1" customWidth="1"/>
    <col min="3010" max="3010" width="9.875" style="1" customWidth="1"/>
    <col min="3011" max="3011" width="7.125" style="1" customWidth="1"/>
    <col min="3012" max="3012" width="8.875" style="1" customWidth="1"/>
    <col min="3013" max="3013" width="10.875" style="1" customWidth="1"/>
    <col min="3014" max="3014" width="8" style="1" customWidth="1"/>
    <col min="3015" max="3016" width="10" style="1" customWidth="1"/>
    <col min="3017" max="3017" width="12.875" style="1" customWidth="1"/>
    <col min="3018" max="3018" width="13.5" style="1" customWidth="1"/>
    <col min="3019" max="3261" width="10" style="1"/>
    <col min="3262" max="3262" width="6.125" style="1" customWidth="1"/>
    <col min="3263" max="3263" width="12.625" style="1" customWidth="1"/>
    <col min="3264" max="3264" width="15.625" style="1" customWidth="1"/>
    <col min="3265" max="3265" width="17.625" style="1" customWidth="1"/>
    <col min="3266" max="3266" width="9.875" style="1" customWidth="1"/>
    <col min="3267" max="3267" width="7.125" style="1" customWidth="1"/>
    <col min="3268" max="3268" width="8.875" style="1" customWidth="1"/>
    <col min="3269" max="3269" width="10.875" style="1" customWidth="1"/>
    <col min="3270" max="3270" width="8" style="1" customWidth="1"/>
    <col min="3271" max="3272" width="10" style="1" customWidth="1"/>
    <col min="3273" max="3273" width="12.875" style="1" customWidth="1"/>
    <col min="3274" max="3274" width="13.5" style="1" customWidth="1"/>
    <col min="3275" max="3517" width="10" style="1"/>
    <col min="3518" max="3518" width="6.125" style="1" customWidth="1"/>
    <col min="3519" max="3519" width="12.625" style="1" customWidth="1"/>
    <col min="3520" max="3520" width="15.625" style="1" customWidth="1"/>
    <col min="3521" max="3521" width="17.625" style="1" customWidth="1"/>
    <col min="3522" max="3522" width="9.875" style="1" customWidth="1"/>
    <col min="3523" max="3523" width="7.125" style="1" customWidth="1"/>
    <col min="3524" max="3524" width="8.875" style="1" customWidth="1"/>
    <col min="3525" max="3525" width="10.875" style="1" customWidth="1"/>
    <col min="3526" max="3526" width="8" style="1" customWidth="1"/>
    <col min="3527" max="3528" width="10" style="1" customWidth="1"/>
    <col min="3529" max="3529" width="12.875" style="1" customWidth="1"/>
    <col min="3530" max="3530" width="13.5" style="1" customWidth="1"/>
    <col min="3531" max="3773" width="10" style="1"/>
    <col min="3774" max="3774" width="6.125" style="1" customWidth="1"/>
    <col min="3775" max="3775" width="12.625" style="1" customWidth="1"/>
    <col min="3776" max="3776" width="15.625" style="1" customWidth="1"/>
    <col min="3777" max="3777" width="17.625" style="1" customWidth="1"/>
    <col min="3778" max="3778" width="9.875" style="1" customWidth="1"/>
    <col min="3779" max="3779" width="7.125" style="1" customWidth="1"/>
    <col min="3780" max="3780" width="8.875" style="1" customWidth="1"/>
    <col min="3781" max="3781" width="10.875" style="1" customWidth="1"/>
    <col min="3782" max="3782" width="8" style="1" customWidth="1"/>
    <col min="3783" max="3784" width="10" style="1" customWidth="1"/>
    <col min="3785" max="3785" width="12.875" style="1" customWidth="1"/>
    <col min="3786" max="3786" width="13.5" style="1" customWidth="1"/>
    <col min="3787" max="4029" width="10" style="1"/>
    <col min="4030" max="4030" width="6.125" style="1" customWidth="1"/>
    <col min="4031" max="4031" width="12.625" style="1" customWidth="1"/>
    <col min="4032" max="4032" width="15.625" style="1" customWidth="1"/>
    <col min="4033" max="4033" width="17.625" style="1" customWidth="1"/>
    <col min="4034" max="4034" width="9.875" style="1" customWidth="1"/>
    <col min="4035" max="4035" width="7.125" style="1" customWidth="1"/>
    <col min="4036" max="4036" width="8.875" style="1" customWidth="1"/>
    <col min="4037" max="4037" width="10.875" style="1" customWidth="1"/>
    <col min="4038" max="4038" width="8" style="1" customWidth="1"/>
    <col min="4039" max="4040" width="10" style="1" customWidth="1"/>
    <col min="4041" max="4041" width="12.875" style="1" customWidth="1"/>
    <col min="4042" max="4042" width="13.5" style="1" customWidth="1"/>
    <col min="4043" max="4285" width="10" style="1"/>
    <col min="4286" max="4286" width="6.125" style="1" customWidth="1"/>
    <col min="4287" max="4287" width="12.625" style="1" customWidth="1"/>
    <col min="4288" max="4288" width="15.625" style="1" customWidth="1"/>
    <col min="4289" max="4289" width="17.625" style="1" customWidth="1"/>
    <col min="4290" max="4290" width="9.875" style="1" customWidth="1"/>
    <col min="4291" max="4291" width="7.125" style="1" customWidth="1"/>
    <col min="4292" max="4292" width="8.875" style="1" customWidth="1"/>
    <col min="4293" max="4293" width="10.875" style="1" customWidth="1"/>
    <col min="4294" max="4294" width="8" style="1" customWidth="1"/>
    <col min="4295" max="4296" width="10" style="1" customWidth="1"/>
    <col min="4297" max="4297" width="12.875" style="1" customWidth="1"/>
    <col min="4298" max="4298" width="13.5" style="1" customWidth="1"/>
    <col min="4299" max="4541" width="10" style="1"/>
    <col min="4542" max="4542" width="6.125" style="1" customWidth="1"/>
    <col min="4543" max="4543" width="12.625" style="1" customWidth="1"/>
    <col min="4544" max="4544" width="15.625" style="1" customWidth="1"/>
    <col min="4545" max="4545" width="17.625" style="1" customWidth="1"/>
    <col min="4546" max="4546" width="9.875" style="1" customWidth="1"/>
    <col min="4547" max="4547" width="7.125" style="1" customWidth="1"/>
    <col min="4548" max="4548" width="8.875" style="1" customWidth="1"/>
    <col min="4549" max="4549" width="10.875" style="1" customWidth="1"/>
    <col min="4550" max="4550" width="8" style="1" customWidth="1"/>
    <col min="4551" max="4552" width="10" style="1" customWidth="1"/>
    <col min="4553" max="4553" width="12.875" style="1" customWidth="1"/>
    <col min="4554" max="4554" width="13.5" style="1" customWidth="1"/>
    <col min="4555" max="4797" width="10" style="1"/>
    <col min="4798" max="4798" width="6.125" style="1" customWidth="1"/>
    <col min="4799" max="4799" width="12.625" style="1" customWidth="1"/>
    <col min="4800" max="4800" width="15.625" style="1" customWidth="1"/>
    <col min="4801" max="4801" width="17.625" style="1" customWidth="1"/>
    <col min="4802" max="4802" width="9.875" style="1" customWidth="1"/>
    <col min="4803" max="4803" width="7.125" style="1" customWidth="1"/>
    <col min="4804" max="4804" width="8.875" style="1" customWidth="1"/>
    <col min="4805" max="4805" width="10.875" style="1" customWidth="1"/>
    <col min="4806" max="4806" width="8" style="1" customWidth="1"/>
    <col min="4807" max="4808" width="10" style="1" customWidth="1"/>
    <col min="4809" max="4809" width="12.875" style="1" customWidth="1"/>
    <col min="4810" max="4810" width="13.5" style="1" customWidth="1"/>
    <col min="4811" max="5053" width="10" style="1"/>
    <col min="5054" max="5054" width="6.125" style="1" customWidth="1"/>
    <col min="5055" max="5055" width="12.625" style="1" customWidth="1"/>
    <col min="5056" max="5056" width="15.625" style="1" customWidth="1"/>
    <col min="5057" max="5057" width="17.625" style="1" customWidth="1"/>
    <col min="5058" max="5058" width="9.875" style="1" customWidth="1"/>
    <col min="5059" max="5059" width="7.125" style="1" customWidth="1"/>
    <col min="5060" max="5060" width="8.875" style="1" customWidth="1"/>
    <col min="5061" max="5061" width="10.875" style="1" customWidth="1"/>
    <col min="5062" max="5062" width="8" style="1" customWidth="1"/>
    <col min="5063" max="5064" width="10" style="1" customWidth="1"/>
    <col min="5065" max="5065" width="12.875" style="1" customWidth="1"/>
    <col min="5066" max="5066" width="13.5" style="1" customWidth="1"/>
    <col min="5067" max="5309" width="10" style="1"/>
    <col min="5310" max="5310" width="6.125" style="1" customWidth="1"/>
    <col min="5311" max="5311" width="12.625" style="1" customWidth="1"/>
    <col min="5312" max="5312" width="15.625" style="1" customWidth="1"/>
    <col min="5313" max="5313" width="17.625" style="1" customWidth="1"/>
    <col min="5314" max="5314" width="9.875" style="1" customWidth="1"/>
    <col min="5315" max="5315" width="7.125" style="1" customWidth="1"/>
    <col min="5316" max="5316" width="8.875" style="1" customWidth="1"/>
    <col min="5317" max="5317" width="10.875" style="1" customWidth="1"/>
    <col min="5318" max="5318" width="8" style="1" customWidth="1"/>
    <col min="5319" max="5320" width="10" style="1" customWidth="1"/>
    <col min="5321" max="5321" width="12.875" style="1" customWidth="1"/>
    <col min="5322" max="5322" width="13.5" style="1" customWidth="1"/>
    <col min="5323" max="5565" width="10" style="1"/>
    <col min="5566" max="5566" width="6.125" style="1" customWidth="1"/>
    <col min="5567" max="5567" width="12.625" style="1" customWidth="1"/>
    <col min="5568" max="5568" width="15.625" style="1" customWidth="1"/>
    <col min="5569" max="5569" width="17.625" style="1" customWidth="1"/>
    <col min="5570" max="5570" width="9.875" style="1" customWidth="1"/>
    <col min="5571" max="5571" width="7.125" style="1" customWidth="1"/>
    <col min="5572" max="5572" width="8.875" style="1" customWidth="1"/>
    <col min="5573" max="5573" width="10.875" style="1" customWidth="1"/>
    <col min="5574" max="5574" width="8" style="1" customWidth="1"/>
    <col min="5575" max="5576" width="10" style="1" customWidth="1"/>
    <col min="5577" max="5577" width="12.875" style="1" customWidth="1"/>
    <col min="5578" max="5578" width="13.5" style="1" customWidth="1"/>
    <col min="5579" max="5821" width="10" style="1"/>
    <col min="5822" max="5822" width="6.125" style="1" customWidth="1"/>
    <col min="5823" max="5823" width="12.625" style="1" customWidth="1"/>
    <col min="5824" max="5824" width="15.625" style="1" customWidth="1"/>
    <col min="5825" max="5825" width="17.625" style="1" customWidth="1"/>
    <col min="5826" max="5826" width="9.875" style="1" customWidth="1"/>
    <col min="5827" max="5827" width="7.125" style="1" customWidth="1"/>
    <col min="5828" max="5828" width="8.875" style="1" customWidth="1"/>
    <col min="5829" max="5829" width="10.875" style="1" customWidth="1"/>
    <col min="5830" max="5830" width="8" style="1" customWidth="1"/>
    <col min="5831" max="5832" width="10" style="1" customWidth="1"/>
    <col min="5833" max="5833" width="12.875" style="1" customWidth="1"/>
    <col min="5834" max="5834" width="13.5" style="1" customWidth="1"/>
    <col min="5835" max="6077" width="10" style="1"/>
    <col min="6078" max="6078" width="6.125" style="1" customWidth="1"/>
    <col min="6079" max="6079" width="12.625" style="1" customWidth="1"/>
    <col min="6080" max="6080" width="15.625" style="1" customWidth="1"/>
    <col min="6081" max="6081" width="17.625" style="1" customWidth="1"/>
    <col min="6082" max="6082" width="9.875" style="1" customWidth="1"/>
    <col min="6083" max="6083" width="7.125" style="1" customWidth="1"/>
    <col min="6084" max="6084" width="8.875" style="1" customWidth="1"/>
    <col min="6085" max="6085" width="10.875" style="1" customWidth="1"/>
    <col min="6086" max="6086" width="8" style="1" customWidth="1"/>
    <col min="6087" max="6088" width="10" style="1" customWidth="1"/>
    <col min="6089" max="6089" width="12.875" style="1" customWidth="1"/>
    <col min="6090" max="6090" width="13.5" style="1" customWidth="1"/>
    <col min="6091" max="6333" width="10" style="1"/>
    <col min="6334" max="6334" width="6.125" style="1" customWidth="1"/>
    <col min="6335" max="6335" width="12.625" style="1" customWidth="1"/>
    <col min="6336" max="6336" width="15.625" style="1" customWidth="1"/>
    <col min="6337" max="6337" width="17.625" style="1" customWidth="1"/>
    <col min="6338" max="6338" width="9.875" style="1" customWidth="1"/>
    <col min="6339" max="6339" width="7.125" style="1" customWidth="1"/>
    <col min="6340" max="6340" width="8.875" style="1" customWidth="1"/>
    <col min="6341" max="6341" width="10.875" style="1" customWidth="1"/>
    <col min="6342" max="6342" width="8" style="1" customWidth="1"/>
    <col min="6343" max="6344" width="10" style="1" customWidth="1"/>
    <col min="6345" max="6345" width="12.875" style="1" customWidth="1"/>
    <col min="6346" max="6346" width="13.5" style="1" customWidth="1"/>
    <col min="6347" max="6589" width="10" style="1"/>
    <col min="6590" max="6590" width="6.125" style="1" customWidth="1"/>
    <col min="6591" max="6591" width="12.625" style="1" customWidth="1"/>
    <col min="6592" max="6592" width="15.625" style="1" customWidth="1"/>
    <col min="6593" max="6593" width="17.625" style="1" customWidth="1"/>
    <col min="6594" max="6594" width="9.875" style="1" customWidth="1"/>
    <col min="6595" max="6595" width="7.125" style="1" customWidth="1"/>
    <col min="6596" max="6596" width="8.875" style="1" customWidth="1"/>
    <col min="6597" max="6597" width="10.875" style="1" customWidth="1"/>
    <col min="6598" max="6598" width="8" style="1" customWidth="1"/>
    <col min="6599" max="6600" width="10" style="1" customWidth="1"/>
    <col min="6601" max="6601" width="12.875" style="1" customWidth="1"/>
    <col min="6602" max="6602" width="13.5" style="1" customWidth="1"/>
    <col min="6603" max="6845" width="10" style="1"/>
    <col min="6846" max="6846" width="6.125" style="1" customWidth="1"/>
    <col min="6847" max="6847" width="12.625" style="1" customWidth="1"/>
    <col min="6848" max="6848" width="15.625" style="1" customWidth="1"/>
    <col min="6849" max="6849" width="17.625" style="1" customWidth="1"/>
    <col min="6850" max="6850" width="9.875" style="1" customWidth="1"/>
    <col min="6851" max="6851" width="7.125" style="1" customWidth="1"/>
    <col min="6852" max="6852" width="8.875" style="1" customWidth="1"/>
    <col min="6853" max="6853" width="10.875" style="1" customWidth="1"/>
    <col min="6854" max="6854" width="8" style="1" customWidth="1"/>
    <col min="6855" max="6856" width="10" style="1" customWidth="1"/>
    <col min="6857" max="6857" width="12.875" style="1" customWidth="1"/>
    <col min="6858" max="6858" width="13.5" style="1" customWidth="1"/>
    <col min="6859" max="7101" width="10" style="1"/>
    <col min="7102" max="7102" width="6.125" style="1" customWidth="1"/>
    <col min="7103" max="7103" width="12.625" style="1" customWidth="1"/>
    <col min="7104" max="7104" width="15.625" style="1" customWidth="1"/>
    <col min="7105" max="7105" width="17.625" style="1" customWidth="1"/>
    <col min="7106" max="7106" width="9.875" style="1" customWidth="1"/>
    <col min="7107" max="7107" width="7.125" style="1" customWidth="1"/>
    <col min="7108" max="7108" width="8.875" style="1" customWidth="1"/>
    <col min="7109" max="7109" width="10.875" style="1" customWidth="1"/>
    <col min="7110" max="7110" width="8" style="1" customWidth="1"/>
    <col min="7111" max="7112" width="10" style="1" customWidth="1"/>
    <col min="7113" max="7113" width="12.875" style="1" customWidth="1"/>
    <col min="7114" max="7114" width="13.5" style="1" customWidth="1"/>
    <col min="7115" max="7357" width="10" style="1"/>
    <col min="7358" max="7358" width="6.125" style="1" customWidth="1"/>
    <col min="7359" max="7359" width="12.625" style="1" customWidth="1"/>
    <col min="7360" max="7360" width="15.625" style="1" customWidth="1"/>
    <col min="7361" max="7361" width="17.625" style="1" customWidth="1"/>
    <col min="7362" max="7362" width="9.875" style="1" customWidth="1"/>
    <col min="7363" max="7363" width="7.125" style="1" customWidth="1"/>
    <col min="7364" max="7364" width="8.875" style="1" customWidth="1"/>
    <col min="7365" max="7365" width="10.875" style="1" customWidth="1"/>
    <col min="7366" max="7366" width="8" style="1" customWidth="1"/>
    <col min="7367" max="7368" width="10" style="1" customWidth="1"/>
    <col min="7369" max="7369" width="12.875" style="1" customWidth="1"/>
    <col min="7370" max="7370" width="13.5" style="1" customWidth="1"/>
    <col min="7371" max="7613" width="10" style="1"/>
    <col min="7614" max="7614" width="6.125" style="1" customWidth="1"/>
    <col min="7615" max="7615" width="12.625" style="1" customWidth="1"/>
    <col min="7616" max="7616" width="15.625" style="1" customWidth="1"/>
    <col min="7617" max="7617" width="17.625" style="1" customWidth="1"/>
    <col min="7618" max="7618" width="9.875" style="1" customWidth="1"/>
    <col min="7619" max="7619" width="7.125" style="1" customWidth="1"/>
    <col min="7620" max="7620" width="8.875" style="1" customWidth="1"/>
    <col min="7621" max="7621" width="10.875" style="1" customWidth="1"/>
    <col min="7622" max="7622" width="8" style="1" customWidth="1"/>
    <col min="7623" max="7624" width="10" style="1" customWidth="1"/>
    <col min="7625" max="7625" width="12.875" style="1" customWidth="1"/>
    <col min="7626" max="7626" width="13.5" style="1" customWidth="1"/>
    <col min="7627" max="7869" width="10" style="1"/>
    <col min="7870" max="7870" width="6.125" style="1" customWidth="1"/>
    <col min="7871" max="7871" width="12.625" style="1" customWidth="1"/>
    <col min="7872" max="7872" width="15.625" style="1" customWidth="1"/>
    <col min="7873" max="7873" width="17.625" style="1" customWidth="1"/>
    <col min="7874" max="7874" width="9.875" style="1" customWidth="1"/>
    <col min="7875" max="7875" width="7.125" style="1" customWidth="1"/>
    <col min="7876" max="7876" width="8.875" style="1" customWidth="1"/>
    <col min="7877" max="7877" width="10.875" style="1" customWidth="1"/>
    <col min="7878" max="7878" width="8" style="1" customWidth="1"/>
    <col min="7879" max="7880" width="10" style="1" customWidth="1"/>
    <col min="7881" max="7881" width="12.875" style="1" customWidth="1"/>
    <col min="7882" max="7882" width="13.5" style="1" customWidth="1"/>
    <col min="7883" max="8125" width="10" style="1"/>
    <col min="8126" max="8126" width="6.125" style="1" customWidth="1"/>
    <col min="8127" max="8127" width="12.625" style="1" customWidth="1"/>
    <col min="8128" max="8128" width="15.625" style="1" customWidth="1"/>
    <col min="8129" max="8129" width="17.625" style="1" customWidth="1"/>
    <col min="8130" max="8130" width="9.875" style="1" customWidth="1"/>
    <col min="8131" max="8131" width="7.125" style="1" customWidth="1"/>
    <col min="8132" max="8132" width="8.875" style="1" customWidth="1"/>
    <col min="8133" max="8133" width="10.875" style="1" customWidth="1"/>
    <col min="8134" max="8134" width="8" style="1" customWidth="1"/>
    <col min="8135" max="8136" width="10" style="1" customWidth="1"/>
    <col min="8137" max="8137" width="12.875" style="1" customWidth="1"/>
    <col min="8138" max="8138" width="13.5" style="1" customWidth="1"/>
    <col min="8139" max="8381" width="10" style="1"/>
    <col min="8382" max="8382" width="6.125" style="1" customWidth="1"/>
    <col min="8383" max="8383" width="12.625" style="1" customWidth="1"/>
    <col min="8384" max="8384" width="15.625" style="1" customWidth="1"/>
    <col min="8385" max="8385" width="17.625" style="1" customWidth="1"/>
    <col min="8386" max="8386" width="9.875" style="1" customWidth="1"/>
    <col min="8387" max="8387" width="7.125" style="1" customWidth="1"/>
    <col min="8388" max="8388" width="8.875" style="1" customWidth="1"/>
    <col min="8389" max="8389" width="10.875" style="1" customWidth="1"/>
    <col min="8390" max="8390" width="8" style="1" customWidth="1"/>
    <col min="8391" max="8392" width="10" style="1" customWidth="1"/>
    <col min="8393" max="8393" width="12.875" style="1" customWidth="1"/>
    <col min="8394" max="8394" width="13.5" style="1" customWidth="1"/>
    <col min="8395" max="8637" width="10" style="1"/>
    <col min="8638" max="8638" width="6.125" style="1" customWidth="1"/>
    <col min="8639" max="8639" width="12.625" style="1" customWidth="1"/>
    <col min="8640" max="8640" width="15.625" style="1" customWidth="1"/>
    <col min="8641" max="8641" width="17.625" style="1" customWidth="1"/>
    <col min="8642" max="8642" width="9.875" style="1" customWidth="1"/>
    <col min="8643" max="8643" width="7.125" style="1" customWidth="1"/>
    <col min="8644" max="8644" width="8.875" style="1" customWidth="1"/>
    <col min="8645" max="8645" width="10.875" style="1" customWidth="1"/>
    <col min="8646" max="8646" width="8" style="1" customWidth="1"/>
    <col min="8647" max="8648" width="10" style="1" customWidth="1"/>
    <col min="8649" max="8649" width="12.875" style="1" customWidth="1"/>
    <col min="8650" max="8650" width="13.5" style="1" customWidth="1"/>
    <col min="8651" max="8893" width="10" style="1"/>
    <col min="8894" max="8894" width="6.125" style="1" customWidth="1"/>
    <col min="8895" max="8895" width="12.625" style="1" customWidth="1"/>
    <col min="8896" max="8896" width="15.625" style="1" customWidth="1"/>
    <col min="8897" max="8897" width="17.625" style="1" customWidth="1"/>
    <col min="8898" max="8898" width="9.875" style="1" customWidth="1"/>
    <col min="8899" max="8899" width="7.125" style="1" customWidth="1"/>
    <col min="8900" max="8900" width="8.875" style="1" customWidth="1"/>
    <col min="8901" max="8901" width="10.875" style="1" customWidth="1"/>
    <col min="8902" max="8902" width="8" style="1" customWidth="1"/>
    <col min="8903" max="8904" width="10" style="1" customWidth="1"/>
    <col min="8905" max="8905" width="12.875" style="1" customWidth="1"/>
    <col min="8906" max="8906" width="13.5" style="1" customWidth="1"/>
    <col min="8907" max="9149" width="10" style="1"/>
    <col min="9150" max="9150" width="6.125" style="1" customWidth="1"/>
    <col min="9151" max="9151" width="12.625" style="1" customWidth="1"/>
    <col min="9152" max="9152" width="15.625" style="1" customWidth="1"/>
    <col min="9153" max="9153" width="17.625" style="1" customWidth="1"/>
    <col min="9154" max="9154" width="9.875" style="1" customWidth="1"/>
    <col min="9155" max="9155" width="7.125" style="1" customWidth="1"/>
    <col min="9156" max="9156" width="8.875" style="1" customWidth="1"/>
    <col min="9157" max="9157" width="10.875" style="1" customWidth="1"/>
    <col min="9158" max="9158" width="8" style="1" customWidth="1"/>
    <col min="9159" max="9160" width="10" style="1" customWidth="1"/>
    <col min="9161" max="9161" width="12.875" style="1" customWidth="1"/>
    <col min="9162" max="9162" width="13.5" style="1" customWidth="1"/>
    <col min="9163" max="9405" width="10" style="1"/>
    <col min="9406" max="9406" width="6.125" style="1" customWidth="1"/>
    <col min="9407" max="9407" width="12.625" style="1" customWidth="1"/>
    <col min="9408" max="9408" width="15.625" style="1" customWidth="1"/>
    <col min="9409" max="9409" width="17.625" style="1" customWidth="1"/>
    <col min="9410" max="9410" width="9.875" style="1" customWidth="1"/>
    <col min="9411" max="9411" width="7.125" style="1" customWidth="1"/>
    <col min="9412" max="9412" width="8.875" style="1" customWidth="1"/>
    <col min="9413" max="9413" width="10.875" style="1" customWidth="1"/>
    <col min="9414" max="9414" width="8" style="1" customWidth="1"/>
    <col min="9415" max="9416" width="10" style="1" customWidth="1"/>
    <col min="9417" max="9417" width="12.875" style="1" customWidth="1"/>
    <col min="9418" max="9418" width="13.5" style="1" customWidth="1"/>
    <col min="9419" max="9661" width="10" style="1"/>
    <col min="9662" max="9662" width="6.125" style="1" customWidth="1"/>
    <col min="9663" max="9663" width="12.625" style="1" customWidth="1"/>
    <col min="9664" max="9664" width="15.625" style="1" customWidth="1"/>
    <col min="9665" max="9665" width="17.625" style="1" customWidth="1"/>
    <col min="9666" max="9666" width="9.875" style="1" customWidth="1"/>
    <col min="9667" max="9667" width="7.125" style="1" customWidth="1"/>
    <col min="9668" max="9668" width="8.875" style="1" customWidth="1"/>
    <col min="9669" max="9669" width="10.875" style="1" customWidth="1"/>
    <col min="9670" max="9670" width="8" style="1" customWidth="1"/>
    <col min="9671" max="9672" width="10" style="1" customWidth="1"/>
    <col min="9673" max="9673" width="12.875" style="1" customWidth="1"/>
    <col min="9674" max="9674" width="13.5" style="1" customWidth="1"/>
    <col min="9675" max="9917" width="10" style="1"/>
    <col min="9918" max="9918" width="6.125" style="1" customWidth="1"/>
    <col min="9919" max="9919" width="12.625" style="1" customWidth="1"/>
    <col min="9920" max="9920" width="15.625" style="1" customWidth="1"/>
    <col min="9921" max="9921" width="17.625" style="1" customWidth="1"/>
    <col min="9922" max="9922" width="9.875" style="1" customWidth="1"/>
    <col min="9923" max="9923" width="7.125" style="1" customWidth="1"/>
    <col min="9924" max="9924" width="8.875" style="1" customWidth="1"/>
    <col min="9925" max="9925" width="10.875" style="1" customWidth="1"/>
    <col min="9926" max="9926" width="8" style="1" customWidth="1"/>
    <col min="9927" max="9928" width="10" style="1" customWidth="1"/>
    <col min="9929" max="9929" width="12.875" style="1" customWidth="1"/>
    <col min="9930" max="9930" width="13.5" style="1" customWidth="1"/>
    <col min="9931" max="10173" width="10" style="1"/>
    <col min="10174" max="10174" width="6.125" style="1" customWidth="1"/>
    <col min="10175" max="10175" width="12.625" style="1" customWidth="1"/>
    <col min="10176" max="10176" width="15.625" style="1" customWidth="1"/>
    <col min="10177" max="10177" width="17.625" style="1" customWidth="1"/>
    <col min="10178" max="10178" width="9.875" style="1" customWidth="1"/>
    <col min="10179" max="10179" width="7.125" style="1" customWidth="1"/>
    <col min="10180" max="10180" width="8.875" style="1" customWidth="1"/>
    <col min="10181" max="10181" width="10.875" style="1" customWidth="1"/>
    <col min="10182" max="10182" width="8" style="1" customWidth="1"/>
    <col min="10183" max="10184" width="10" style="1" customWidth="1"/>
    <col min="10185" max="10185" width="12.875" style="1" customWidth="1"/>
    <col min="10186" max="10186" width="13.5" style="1" customWidth="1"/>
    <col min="10187" max="10429" width="10" style="1"/>
    <col min="10430" max="10430" width="6.125" style="1" customWidth="1"/>
    <col min="10431" max="10431" width="12.625" style="1" customWidth="1"/>
    <col min="10432" max="10432" width="15.625" style="1" customWidth="1"/>
    <col min="10433" max="10433" width="17.625" style="1" customWidth="1"/>
    <col min="10434" max="10434" width="9.875" style="1" customWidth="1"/>
    <col min="10435" max="10435" width="7.125" style="1" customWidth="1"/>
    <col min="10436" max="10436" width="8.875" style="1" customWidth="1"/>
    <col min="10437" max="10437" width="10.875" style="1" customWidth="1"/>
    <col min="10438" max="10438" width="8" style="1" customWidth="1"/>
    <col min="10439" max="10440" width="10" style="1" customWidth="1"/>
    <col min="10441" max="10441" width="12.875" style="1" customWidth="1"/>
    <col min="10442" max="10442" width="13.5" style="1" customWidth="1"/>
    <col min="10443" max="10685" width="10" style="1"/>
    <col min="10686" max="10686" width="6.125" style="1" customWidth="1"/>
    <col min="10687" max="10687" width="12.625" style="1" customWidth="1"/>
    <col min="10688" max="10688" width="15.625" style="1" customWidth="1"/>
    <col min="10689" max="10689" width="17.625" style="1" customWidth="1"/>
    <col min="10690" max="10690" width="9.875" style="1" customWidth="1"/>
    <col min="10691" max="10691" width="7.125" style="1" customWidth="1"/>
    <col min="10692" max="10692" width="8.875" style="1" customWidth="1"/>
    <col min="10693" max="10693" width="10.875" style="1" customWidth="1"/>
    <col min="10694" max="10694" width="8" style="1" customWidth="1"/>
    <col min="10695" max="10696" width="10" style="1" customWidth="1"/>
    <col min="10697" max="10697" width="12.875" style="1" customWidth="1"/>
    <col min="10698" max="10698" width="13.5" style="1" customWidth="1"/>
    <col min="10699" max="10941" width="10" style="1"/>
    <col min="10942" max="10942" width="6.125" style="1" customWidth="1"/>
    <col min="10943" max="10943" width="12.625" style="1" customWidth="1"/>
    <col min="10944" max="10944" width="15.625" style="1" customWidth="1"/>
    <col min="10945" max="10945" width="17.625" style="1" customWidth="1"/>
    <col min="10946" max="10946" width="9.875" style="1" customWidth="1"/>
    <col min="10947" max="10947" width="7.125" style="1" customWidth="1"/>
    <col min="10948" max="10948" width="8.875" style="1" customWidth="1"/>
    <col min="10949" max="10949" width="10.875" style="1" customWidth="1"/>
    <col min="10950" max="10950" width="8" style="1" customWidth="1"/>
    <col min="10951" max="10952" width="10" style="1" customWidth="1"/>
    <col min="10953" max="10953" width="12.875" style="1" customWidth="1"/>
    <col min="10954" max="10954" width="13.5" style="1" customWidth="1"/>
    <col min="10955" max="11197" width="10" style="1"/>
    <col min="11198" max="11198" width="6.125" style="1" customWidth="1"/>
    <col min="11199" max="11199" width="12.625" style="1" customWidth="1"/>
    <col min="11200" max="11200" width="15.625" style="1" customWidth="1"/>
    <col min="11201" max="11201" width="17.625" style="1" customWidth="1"/>
    <col min="11202" max="11202" width="9.875" style="1" customWidth="1"/>
    <col min="11203" max="11203" width="7.125" style="1" customWidth="1"/>
    <col min="11204" max="11204" width="8.875" style="1" customWidth="1"/>
    <col min="11205" max="11205" width="10.875" style="1" customWidth="1"/>
    <col min="11206" max="11206" width="8" style="1" customWidth="1"/>
    <col min="11207" max="11208" width="10" style="1" customWidth="1"/>
    <col min="11209" max="11209" width="12.875" style="1" customWidth="1"/>
    <col min="11210" max="11210" width="13.5" style="1" customWidth="1"/>
    <col min="11211" max="11453" width="10" style="1"/>
    <col min="11454" max="11454" width="6.125" style="1" customWidth="1"/>
    <col min="11455" max="11455" width="12.625" style="1" customWidth="1"/>
    <col min="11456" max="11456" width="15.625" style="1" customWidth="1"/>
    <col min="11457" max="11457" width="17.625" style="1" customWidth="1"/>
    <col min="11458" max="11458" width="9.875" style="1" customWidth="1"/>
    <col min="11459" max="11459" width="7.125" style="1" customWidth="1"/>
    <col min="11460" max="11460" width="8.875" style="1" customWidth="1"/>
    <col min="11461" max="11461" width="10.875" style="1" customWidth="1"/>
    <col min="11462" max="11462" width="8" style="1" customWidth="1"/>
    <col min="11463" max="11464" width="10" style="1" customWidth="1"/>
    <col min="11465" max="11465" width="12.875" style="1" customWidth="1"/>
    <col min="11466" max="11466" width="13.5" style="1" customWidth="1"/>
    <col min="11467" max="11709" width="10" style="1"/>
    <col min="11710" max="11710" width="6.125" style="1" customWidth="1"/>
    <col min="11711" max="11711" width="12.625" style="1" customWidth="1"/>
    <col min="11712" max="11712" width="15.625" style="1" customWidth="1"/>
    <col min="11713" max="11713" width="17.625" style="1" customWidth="1"/>
    <col min="11714" max="11714" width="9.875" style="1" customWidth="1"/>
    <col min="11715" max="11715" width="7.125" style="1" customWidth="1"/>
    <col min="11716" max="11716" width="8.875" style="1" customWidth="1"/>
    <col min="11717" max="11717" width="10.875" style="1" customWidth="1"/>
    <col min="11718" max="11718" width="8" style="1" customWidth="1"/>
    <col min="11719" max="11720" width="10" style="1" customWidth="1"/>
    <col min="11721" max="11721" width="12.875" style="1" customWidth="1"/>
    <col min="11722" max="11722" width="13.5" style="1" customWidth="1"/>
    <col min="11723" max="11965" width="10" style="1"/>
    <col min="11966" max="11966" width="6.125" style="1" customWidth="1"/>
    <col min="11967" max="11967" width="12.625" style="1" customWidth="1"/>
    <col min="11968" max="11968" width="15.625" style="1" customWidth="1"/>
    <col min="11969" max="11969" width="17.625" style="1" customWidth="1"/>
    <col min="11970" max="11970" width="9.875" style="1" customWidth="1"/>
    <col min="11971" max="11971" width="7.125" style="1" customWidth="1"/>
    <col min="11972" max="11972" width="8.875" style="1" customWidth="1"/>
    <col min="11973" max="11973" width="10.875" style="1" customWidth="1"/>
    <col min="11974" max="11974" width="8" style="1" customWidth="1"/>
    <col min="11975" max="11976" width="10" style="1" customWidth="1"/>
    <col min="11977" max="11977" width="12.875" style="1" customWidth="1"/>
    <col min="11978" max="11978" width="13.5" style="1" customWidth="1"/>
    <col min="11979" max="12221" width="10" style="1"/>
    <col min="12222" max="12222" width="6.125" style="1" customWidth="1"/>
    <col min="12223" max="12223" width="12.625" style="1" customWidth="1"/>
    <col min="12224" max="12224" width="15.625" style="1" customWidth="1"/>
    <col min="12225" max="12225" width="17.625" style="1" customWidth="1"/>
    <col min="12226" max="12226" width="9.875" style="1" customWidth="1"/>
    <col min="12227" max="12227" width="7.125" style="1" customWidth="1"/>
    <col min="12228" max="12228" width="8.875" style="1" customWidth="1"/>
    <col min="12229" max="12229" width="10.875" style="1" customWidth="1"/>
    <col min="12230" max="12230" width="8" style="1" customWidth="1"/>
    <col min="12231" max="12232" width="10" style="1" customWidth="1"/>
    <col min="12233" max="12233" width="12.875" style="1" customWidth="1"/>
    <col min="12234" max="12234" width="13.5" style="1" customWidth="1"/>
    <col min="12235" max="12477" width="10" style="1"/>
    <col min="12478" max="12478" width="6.125" style="1" customWidth="1"/>
    <col min="12479" max="12479" width="12.625" style="1" customWidth="1"/>
    <col min="12480" max="12480" width="15.625" style="1" customWidth="1"/>
    <col min="12481" max="12481" width="17.625" style="1" customWidth="1"/>
    <col min="12482" max="12482" width="9.875" style="1" customWidth="1"/>
    <col min="12483" max="12483" width="7.125" style="1" customWidth="1"/>
    <col min="12484" max="12484" width="8.875" style="1" customWidth="1"/>
    <col min="12485" max="12485" width="10.875" style="1" customWidth="1"/>
    <col min="12486" max="12486" width="8" style="1" customWidth="1"/>
    <col min="12487" max="12488" width="10" style="1" customWidth="1"/>
    <col min="12489" max="12489" width="12.875" style="1" customWidth="1"/>
    <col min="12490" max="12490" width="13.5" style="1" customWidth="1"/>
    <col min="12491" max="12733" width="10" style="1"/>
    <col min="12734" max="12734" width="6.125" style="1" customWidth="1"/>
    <col min="12735" max="12735" width="12.625" style="1" customWidth="1"/>
    <col min="12736" max="12736" width="15.625" style="1" customWidth="1"/>
    <col min="12737" max="12737" width="17.625" style="1" customWidth="1"/>
    <col min="12738" max="12738" width="9.875" style="1" customWidth="1"/>
    <col min="12739" max="12739" width="7.125" style="1" customWidth="1"/>
    <col min="12740" max="12740" width="8.875" style="1" customWidth="1"/>
    <col min="12741" max="12741" width="10.875" style="1" customWidth="1"/>
    <col min="12742" max="12742" width="8" style="1" customWidth="1"/>
    <col min="12743" max="12744" width="10" style="1" customWidth="1"/>
    <col min="12745" max="12745" width="12.875" style="1" customWidth="1"/>
    <col min="12746" max="12746" width="13.5" style="1" customWidth="1"/>
    <col min="12747" max="12989" width="10" style="1"/>
    <col min="12990" max="12990" width="6.125" style="1" customWidth="1"/>
    <col min="12991" max="12991" width="12.625" style="1" customWidth="1"/>
    <col min="12992" max="12992" width="15.625" style="1" customWidth="1"/>
    <col min="12993" max="12993" width="17.625" style="1" customWidth="1"/>
    <col min="12994" max="12994" width="9.875" style="1" customWidth="1"/>
    <col min="12995" max="12995" width="7.125" style="1" customWidth="1"/>
    <col min="12996" max="12996" width="8.875" style="1" customWidth="1"/>
    <col min="12997" max="12997" width="10.875" style="1" customWidth="1"/>
    <col min="12998" max="12998" width="8" style="1" customWidth="1"/>
    <col min="12999" max="13000" width="10" style="1" customWidth="1"/>
    <col min="13001" max="13001" width="12.875" style="1" customWidth="1"/>
    <col min="13002" max="13002" width="13.5" style="1" customWidth="1"/>
    <col min="13003" max="13245" width="10" style="1"/>
    <col min="13246" max="13246" width="6.125" style="1" customWidth="1"/>
    <col min="13247" max="13247" width="12.625" style="1" customWidth="1"/>
    <col min="13248" max="13248" width="15.625" style="1" customWidth="1"/>
    <col min="13249" max="13249" width="17.625" style="1" customWidth="1"/>
    <col min="13250" max="13250" width="9.875" style="1" customWidth="1"/>
    <col min="13251" max="13251" width="7.125" style="1" customWidth="1"/>
    <col min="13252" max="13252" width="8.875" style="1" customWidth="1"/>
    <col min="13253" max="13253" width="10.875" style="1" customWidth="1"/>
    <col min="13254" max="13254" width="8" style="1" customWidth="1"/>
    <col min="13255" max="13256" width="10" style="1" customWidth="1"/>
    <col min="13257" max="13257" width="12.875" style="1" customWidth="1"/>
    <col min="13258" max="13258" width="13.5" style="1" customWidth="1"/>
    <col min="13259" max="13501" width="10" style="1"/>
    <col min="13502" max="13502" width="6.125" style="1" customWidth="1"/>
    <col min="13503" max="13503" width="12.625" style="1" customWidth="1"/>
    <col min="13504" max="13504" width="15.625" style="1" customWidth="1"/>
    <col min="13505" max="13505" width="17.625" style="1" customWidth="1"/>
    <col min="13506" max="13506" width="9.875" style="1" customWidth="1"/>
    <col min="13507" max="13507" width="7.125" style="1" customWidth="1"/>
    <col min="13508" max="13508" width="8.875" style="1" customWidth="1"/>
    <col min="13509" max="13509" width="10.875" style="1" customWidth="1"/>
    <col min="13510" max="13510" width="8" style="1" customWidth="1"/>
    <col min="13511" max="13512" width="10" style="1" customWidth="1"/>
    <col min="13513" max="13513" width="12.875" style="1" customWidth="1"/>
    <col min="13514" max="13514" width="13.5" style="1" customWidth="1"/>
    <col min="13515" max="13757" width="10" style="1"/>
    <col min="13758" max="13758" width="6.125" style="1" customWidth="1"/>
    <col min="13759" max="13759" width="12.625" style="1" customWidth="1"/>
    <col min="13760" max="13760" width="15.625" style="1" customWidth="1"/>
    <col min="13761" max="13761" width="17.625" style="1" customWidth="1"/>
    <col min="13762" max="13762" width="9.875" style="1" customWidth="1"/>
    <col min="13763" max="13763" width="7.125" style="1" customWidth="1"/>
    <col min="13764" max="13764" width="8.875" style="1" customWidth="1"/>
    <col min="13765" max="13765" width="10.875" style="1" customWidth="1"/>
    <col min="13766" max="13766" width="8" style="1" customWidth="1"/>
    <col min="13767" max="13768" width="10" style="1" customWidth="1"/>
    <col min="13769" max="13769" width="12.875" style="1" customWidth="1"/>
    <col min="13770" max="13770" width="13.5" style="1" customWidth="1"/>
    <col min="13771" max="14013" width="10" style="1"/>
    <col min="14014" max="14014" width="6.125" style="1" customWidth="1"/>
    <col min="14015" max="14015" width="12.625" style="1" customWidth="1"/>
    <col min="14016" max="14016" width="15.625" style="1" customWidth="1"/>
    <col min="14017" max="14017" width="17.625" style="1" customWidth="1"/>
    <col min="14018" max="14018" width="9.875" style="1" customWidth="1"/>
    <col min="14019" max="14019" width="7.125" style="1" customWidth="1"/>
    <col min="14020" max="14020" width="8.875" style="1" customWidth="1"/>
    <col min="14021" max="14021" width="10.875" style="1" customWidth="1"/>
    <col min="14022" max="14022" width="8" style="1" customWidth="1"/>
    <col min="14023" max="14024" width="10" style="1" customWidth="1"/>
    <col min="14025" max="14025" width="12.875" style="1" customWidth="1"/>
    <col min="14026" max="14026" width="13.5" style="1" customWidth="1"/>
    <col min="14027" max="14269" width="10" style="1"/>
    <col min="14270" max="14270" width="6.125" style="1" customWidth="1"/>
    <col min="14271" max="14271" width="12.625" style="1" customWidth="1"/>
    <col min="14272" max="14272" width="15.625" style="1" customWidth="1"/>
    <col min="14273" max="14273" width="17.625" style="1" customWidth="1"/>
    <col min="14274" max="14274" width="9.875" style="1" customWidth="1"/>
    <col min="14275" max="14275" width="7.125" style="1" customWidth="1"/>
    <col min="14276" max="14276" width="8.875" style="1" customWidth="1"/>
    <col min="14277" max="14277" width="10.875" style="1" customWidth="1"/>
    <col min="14278" max="14278" width="8" style="1" customWidth="1"/>
    <col min="14279" max="14280" width="10" style="1" customWidth="1"/>
    <col min="14281" max="14281" width="12.875" style="1" customWidth="1"/>
    <col min="14282" max="14282" width="13.5" style="1" customWidth="1"/>
    <col min="14283" max="14525" width="10" style="1"/>
    <col min="14526" max="14526" width="6.125" style="1" customWidth="1"/>
    <col min="14527" max="14527" width="12.625" style="1" customWidth="1"/>
    <col min="14528" max="14528" width="15.625" style="1" customWidth="1"/>
    <col min="14529" max="14529" width="17.625" style="1" customWidth="1"/>
    <col min="14530" max="14530" width="9.875" style="1" customWidth="1"/>
    <col min="14531" max="14531" width="7.125" style="1" customWidth="1"/>
    <col min="14532" max="14532" width="8.875" style="1" customWidth="1"/>
    <col min="14533" max="14533" width="10.875" style="1" customWidth="1"/>
    <col min="14534" max="14534" width="8" style="1" customWidth="1"/>
    <col min="14535" max="14536" width="10" style="1" customWidth="1"/>
    <col min="14537" max="14537" width="12.875" style="1" customWidth="1"/>
    <col min="14538" max="14538" width="13.5" style="1" customWidth="1"/>
    <col min="14539" max="14781" width="10" style="1"/>
    <col min="14782" max="14782" width="6.125" style="1" customWidth="1"/>
    <col min="14783" max="14783" width="12.625" style="1" customWidth="1"/>
    <col min="14784" max="14784" width="15.625" style="1" customWidth="1"/>
    <col min="14785" max="14785" width="17.625" style="1" customWidth="1"/>
    <col min="14786" max="14786" width="9.875" style="1" customWidth="1"/>
    <col min="14787" max="14787" width="7.125" style="1" customWidth="1"/>
    <col min="14788" max="14788" width="8.875" style="1" customWidth="1"/>
    <col min="14789" max="14789" width="10.875" style="1" customWidth="1"/>
    <col min="14790" max="14790" width="8" style="1" customWidth="1"/>
    <col min="14791" max="14792" width="10" style="1" customWidth="1"/>
    <col min="14793" max="14793" width="12.875" style="1" customWidth="1"/>
    <col min="14794" max="14794" width="13.5" style="1" customWidth="1"/>
    <col min="14795" max="15037" width="10" style="1"/>
    <col min="15038" max="15038" width="6.125" style="1" customWidth="1"/>
    <col min="15039" max="15039" width="12.625" style="1" customWidth="1"/>
    <col min="15040" max="15040" width="15.625" style="1" customWidth="1"/>
    <col min="15041" max="15041" width="17.625" style="1" customWidth="1"/>
    <col min="15042" max="15042" width="9.875" style="1" customWidth="1"/>
    <col min="15043" max="15043" width="7.125" style="1" customWidth="1"/>
    <col min="15044" max="15044" width="8.875" style="1" customWidth="1"/>
    <col min="15045" max="15045" width="10.875" style="1" customWidth="1"/>
    <col min="15046" max="15046" width="8" style="1" customWidth="1"/>
    <col min="15047" max="15048" width="10" style="1" customWidth="1"/>
    <col min="15049" max="15049" width="12.875" style="1" customWidth="1"/>
    <col min="15050" max="15050" width="13.5" style="1" customWidth="1"/>
    <col min="15051" max="15293" width="10" style="1"/>
    <col min="15294" max="15294" width="6.125" style="1" customWidth="1"/>
    <col min="15295" max="15295" width="12.625" style="1" customWidth="1"/>
    <col min="15296" max="15296" width="15.625" style="1" customWidth="1"/>
    <col min="15297" max="15297" width="17.625" style="1" customWidth="1"/>
    <col min="15298" max="15298" width="9.875" style="1" customWidth="1"/>
    <col min="15299" max="15299" width="7.125" style="1" customWidth="1"/>
    <col min="15300" max="15300" width="8.875" style="1" customWidth="1"/>
    <col min="15301" max="15301" width="10.875" style="1" customWidth="1"/>
    <col min="15302" max="15302" width="8" style="1" customWidth="1"/>
    <col min="15303" max="15304" width="10" style="1" customWidth="1"/>
    <col min="15305" max="15305" width="12.875" style="1" customWidth="1"/>
    <col min="15306" max="15306" width="13.5" style="1" customWidth="1"/>
    <col min="15307" max="15549" width="10" style="1"/>
    <col min="15550" max="15550" width="6.125" style="1" customWidth="1"/>
    <col min="15551" max="15551" width="12.625" style="1" customWidth="1"/>
    <col min="15552" max="15552" width="15.625" style="1" customWidth="1"/>
    <col min="15553" max="15553" width="17.625" style="1" customWidth="1"/>
    <col min="15554" max="15554" width="9.875" style="1" customWidth="1"/>
    <col min="15555" max="15555" width="7.125" style="1" customWidth="1"/>
    <col min="15556" max="15556" width="8.875" style="1" customWidth="1"/>
    <col min="15557" max="15557" width="10.875" style="1" customWidth="1"/>
    <col min="15558" max="15558" width="8" style="1" customWidth="1"/>
    <col min="15559" max="15560" width="10" style="1" customWidth="1"/>
    <col min="15561" max="15561" width="12.875" style="1" customWidth="1"/>
    <col min="15562" max="15562" width="13.5" style="1" customWidth="1"/>
    <col min="15563" max="15805" width="10" style="1"/>
    <col min="15806" max="15806" width="6.125" style="1" customWidth="1"/>
    <col min="15807" max="15807" width="12.625" style="1" customWidth="1"/>
    <col min="15808" max="15808" width="15.625" style="1" customWidth="1"/>
    <col min="15809" max="15809" width="17.625" style="1" customWidth="1"/>
    <col min="15810" max="15810" width="9.875" style="1" customWidth="1"/>
    <col min="15811" max="15811" width="7.125" style="1" customWidth="1"/>
    <col min="15812" max="15812" width="8.875" style="1" customWidth="1"/>
    <col min="15813" max="15813" width="10.875" style="1" customWidth="1"/>
    <col min="15814" max="15814" width="8" style="1" customWidth="1"/>
    <col min="15815" max="15816" width="10" style="1" customWidth="1"/>
    <col min="15817" max="15817" width="12.875" style="1" customWidth="1"/>
    <col min="15818" max="15818" width="13.5" style="1" customWidth="1"/>
    <col min="15819" max="16061" width="10" style="1"/>
    <col min="16062" max="16062" width="6.125" style="1" customWidth="1"/>
    <col min="16063" max="16063" width="12.625" style="1" customWidth="1"/>
    <col min="16064" max="16064" width="15.625" style="1" customWidth="1"/>
    <col min="16065" max="16065" width="17.625" style="1" customWidth="1"/>
    <col min="16066" max="16066" width="9.875" style="1" customWidth="1"/>
    <col min="16067" max="16067" width="7.125" style="1" customWidth="1"/>
    <col min="16068" max="16068" width="8.875" style="1" customWidth="1"/>
    <col min="16069" max="16069" width="10.875" style="1" customWidth="1"/>
    <col min="16070" max="16070" width="8" style="1" customWidth="1"/>
    <col min="16071" max="16072" width="10" style="1" customWidth="1"/>
    <col min="16073" max="16073" width="12.875" style="1" customWidth="1"/>
    <col min="16074" max="16074" width="13.5" style="1" customWidth="1"/>
    <col min="16075" max="16384" width="10" style="1"/>
  </cols>
  <sheetData>
    <row r="1" spans="1:35" s="2" customFormat="1" ht="30" x14ac:dyDescent="0.45">
      <c r="A1" s="12" t="s">
        <v>4</v>
      </c>
      <c r="B1" s="12"/>
      <c r="C1" s="12"/>
      <c r="D1" s="12"/>
      <c r="E1" s="12"/>
      <c r="F1" s="9"/>
      <c r="G1" s="9"/>
      <c r="H1" s="9"/>
      <c r="I1" s="50"/>
    </row>
    <row r="2" spans="1:35" s="3" customFormat="1" x14ac:dyDescent="0.25">
      <c r="A2" s="57" t="s">
        <v>16</v>
      </c>
      <c r="B2" s="57"/>
      <c r="C2" s="57"/>
      <c r="D2" s="6" t="s">
        <v>17</v>
      </c>
      <c r="E2" s="1"/>
      <c r="F2" s="58" t="s">
        <v>5</v>
      </c>
      <c r="G2" s="58"/>
      <c r="H2" s="58"/>
      <c r="I2" s="58"/>
      <c r="J2" s="58"/>
      <c r="K2" s="58"/>
    </row>
    <row r="3" spans="1:35" s="4" customFormat="1" ht="31.5" x14ac:dyDescent="0.25">
      <c r="A3" s="20" t="s">
        <v>0</v>
      </c>
      <c r="B3" s="21" t="s">
        <v>18</v>
      </c>
      <c r="C3" s="22" t="s">
        <v>19</v>
      </c>
      <c r="D3" s="23" t="s">
        <v>1</v>
      </c>
      <c r="E3" s="24" t="s">
        <v>2</v>
      </c>
      <c r="F3" s="25" t="s">
        <v>12</v>
      </c>
      <c r="G3" s="11" t="s">
        <v>3</v>
      </c>
      <c r="H3" s="13" t="s">
        <v>6</v>
      </c>
      <c r="I3" s="48" t="s">
        <v>395</v>
      </c>
      <c r="J3" s="13" t="s">
        <v>396</v>
      </c>
      <c r="K3" s="13" t="s">
        <v>7</v>
      </c>
      <c r="L3" s="17" t="s">
        <v>8</v>
      </c>
      <c r="M3" s="18" t="s">
        <v>9</v>
      </c>
      <c r="N3" s="13" t="s">
        <v>387</v>
      </c>
      <c r="O3" s="13" t="s">
        <v>388</v>
      </c>
      <c r="P3" s="13" t="s">
        <v>389</v>
      </c>
      <c r="Q3" s="13" t="s">
        <v>390</v>
      </c>
      <c r="R3" s="13" t="s">
        <v>391</v>
      </c>
      <c r="S3" s="13" t="s">
        <v>392</v>
      </c>
      <c r="T3" s="13" t="s">
        <v>393</v>
      </c>
      <c r="U3" s="13" t="s">
        <v>394</v>
      </c>
      <c r="V3" s="13" t="s">
        <v>397</v>
      </c>
      <c r="W3" s="13" t="s">
        <v>398</v>
      </c>
      <c r="X3" s="13" t="s">
        <v>399</v>
      </c>
      <c r="Y3" s="13" t="s">
        <v>400</v>
      </c>
      <c r="Z3" s="13" t="s">
        <v>409</v>
      </c>
      <c r="AA3" s="13" t="s">
        <v>401</v>
      </c>
      <c r="AB3" s="13" t="s">
        <v>402</v>
      </c>
      <c r="AC3" s="13" t="s">
        <v>410</v>
      </c>
      <c r="AD3" s="13" t="s">
        <v>403</v>
      </c>
      <c r="AE3" s="13" t="s">
        <v>404</v>
      </c>
      <c r="AF3" s="13" t="s">
        <v>405</v>
      </c>
      <c r="AG3" s="13" t="s">
        <v>406</v>
      </c>
      <c r="AH3" s="13" t="s">
        <v>407</v>
      </c>
      <c r="AI3" s="13" t="s">
        <v>408</v>
      </c>
    </row>
    <row r="4" spans="1:35" s="3" customFormat="1" x14ac:dyDescent="0.25">
      <c r="A4" s="19" t="s">
        <v>20</v>
      </c>
      <c r="B4" s="26" t="s">
        <v>21</v>
      </c>
      <c r="C4" s="27"/>
      <c r="D4" s="28"/>
      <c r="E4" s="29"/>
      <c r="F4" s="30"/>
      <c r="G4" s="10"/>
      <c r="H4" s="10"/>
      <c r="I4" s="51"/>
      <c r="K4" s="14"/>
      <c r="L4" s="15"/>
      <c r="M4" s="16"/>
    </row>
    <row r="5" spans="1:35" s="3" customFormat="1" x14ac:dyDescent="0.25">
      <c r="A5" s="19" t="s">
        <v>22</v>
      </c>
      <c r="B5" s="31" t="s">
        <v>23</v>
      </c>
      <c r="C5" s="32" t="s">
        <v>24</v>
      </c>
      <c r="D5" s="33" t="s">
        <v>10</v>
      </c>
      <c r="E5" s="29" t="s">
        <v>13</v>
      </c>
      <c r="F5" s="30">
        <v>1</v>
      </c>
      <c r="G5" s="10">
        <v>0</v>
      </c>
      <c r="H5" s="10"/>
      <c r="I5" s="51">
        <v>1</v>
      </c>
      <c r="K5" s="14">
        <f t="shared" ref="K5:K67" si="0">SUM(I5:J5)</f>
        <v>1</v>
      </c>
      <c r="L5" s="15">
        <f t="shared" ref="L5:L68" si="1">+M5-K5</f>
        <v>0</v>
      </c>
      <c r="M5" s="16">
        <f t="shared" ref="M5:M68" si="2">SUM(N5:EA5)</f>
        <v>1</v>
      </c>
      <c r="S5" s="53">
        <v>1</v>
      </c>
    </row>
    <row r="6" spans="1:35" s="3" customFormat="1" x14ac:dyDescent="0.25">
      <c r="A6" s="19">
        <v>61</v>
      </c>
      <c r="B6" s="31" t="s">
        <v>25</v>
      </c>
      <c r="C6" s="32" t="s">
        <v>26</v>
      </c>
      <c r="D6" s="33" t="s">
        <v>10</v>
      </c>
      <c r="E6" s="29" t="s">
        <v>13</v>
      </c>
      <c r="F6" s="30">
        <v>1</v>
      </c>
      <c r="G6" s="10">
        <v>1</v>
      </c>
      <c r="H6" s="10"/>
      <c r="I6" s="51">
        <v>1</v>
      </c>
      <c r="K6" s="14">
        <f t="shared" si="0"/>
        <v>1</v>
      </c>
      <c r="L6" s="15">
        <f t="shared" si="1"/>
        <v>0</v>
      </c>
      <c r="M6" s="16">
        <f t="shared" si="2"/>
        <v>1</v>
      </c>
      <c r="S6" s="53">
        <v>1</v>
      </c>
    </row>
    <row r="7" spans="1:35" s="3" customFormat="1" x14ac:dyDescent="0.25">
      <c r="A7" s="19">
        <v>62</v>
      </c>
      <c r="B7" s="31" t="s">
        <v>25</v>
      </c>
      <c r="C7" s="32" t="s">
        <v>27</v>
      </c>
      <c r="D7" s="33" t="s">
        <v>10</v>
      </c>
      <c r="E7" s="29" t="s">
        <v>13</v>
      </c>
      <c r="F7" s="30">
        <v>1</v>
      </c>
      <c r="G7" s="10">
        <v>1</v>
      </c>
      <c r="H7" s="10">
        <v>1</v>
      </c>
      <c r="I7" s="51">
        <v>0</v>
      </c>
      <c r="K7" s="14">
        <f t="shared" si="0"/>
        <v>0</v>
      </c>
      <c r="L7" s="15">
        <f t="shared" si="1"/>
        <v>0</v>
      </c>
      <c r="M7" s="16">
        <f t="shared" si="2"/>
        <v>0</v>
      </c>
    </row>
    <row r="8" spans="1:35" s="3" customFormat="1" x14ac:dyDescent="0.25">
      <c r="A8" s="19">
        <v>63</v>
      </c>
      <c r="B8" s="31" t="s">
        <v>28</v>
      </c>
      <c r="C8" s="32" t="s">
        <v>24</v>
      </c>
      <c r="D8" s="33" t="s">
        <v>10</v>
      </c>
      <c r="E8" s="29" t="s">
        <v>13</v>
      </c>
      <c r="F8" s="30">
        <v>1</v>
      </c>
      <c r="G8" s="10">
        <v>1</v>
      </c>
      <c r="H8" s="10">
        <v>1</v>
      </c>
      <c r="I8" s="51">
        <v>0</v>
      </c>
      <c r="K8" s="14">
        <f t="shared" si="0"/>
        <v>0</v>
      </c>
      <c r="L8" s="15">
        <f t="shared" si="1"/>
        <v>0</v>
      </c>
      <c r="M8" s="16">
        <f t="shared" si="2"/>
        <v>0</v>
      </c>
    </row>
    <row r="9" spans="1:35" s="3" customFormat="1" x14ac:dyDescent="0.25">
      <c r="A9" s="19">
        <v>64</v>
      </c>
      <c r="B9" s="31" t="s">
        <v>28</v>
      </c>
      <c r="C9" s="32" t="s">
        <v>27</v>
      </c>
      <c r="D9" s="33" t="s">
        <v>10</v>
      </c>
      <c r="E9" s="29" t="s">
        <v>13</v>
      </c>
      <c r="F9" s="30">
        <v>4</v>
      </c>
      <c r="G9" s="10">
        <v>3</v>
      </c>
      <c r="H9" s="10">
        <v>4</v>
      </c>
      <c r="I9" s="51">
        <v>0</v>
      </c>
      <c r="K9" s="14">
        <f t="shared" si="0"/>
        <v>0</v>
      </c>
      <c r="L9" s="15">
        <f t="shared" si="1"/>
        <v>0</v>
      </c>
      <c r="M9" s="16">
        <f t="shared" si="2"/>
        <v>0</v>
      </c>
    </row>
    <row r="10" spans="1:35" s="3" customFormat="1" x14ac:dyDescent="0.25">
      <c r="A10" s="19">
        <v>65</v>
      </c>
      <c r="B10" s="31" t="s">
        <v>28</v>
      </c>
      <c r="C10" s="32" t="s">
        <v>29</v>
      </c>
      <c r="D10" s="33" t="s">
        <v>10</v>
      </c>
      <c r="E10" s="29" t="s">
        <v>13</v>
      </c>
      <c r="F10" s="30">
        <v>2</v>
      </c>
      <c r="G10" s="10">
        <v>2</v>
      </c>
      <c r="H10" s="10"/>
      <c r="I10" s="51">
        <v>2</v>
      </c>
      <c r="K10" s="14">
        <f t="shared" si="0"/>
        <v>2</v>
      </c>
      <c r="L10" s="15">
        <f t="shared" si="1"/>
        <v>0</v>
      </c>
      <c r="M10" s="16">
        <f t="shared" si="2"/>
        <v>2</v>
      </c>
      <c r="S10" s="53">
        <v>2</v>
      </c>
    </row>
    <row r="11" spans="1:35" s="3" customFormat="1" x14ac:dyDescent="0.25">
      <c r="A11" s="19">
        <v>66</v>
      </c>
      <c r="B11" s="31" t="s">
        <v>28</v>
      </c>
      <c r="C11" s="32" t="s">
        <v>30</v>
      </c>
      <c r="D11" s="33" t="s">
        <v>10</v>
      </c>
      <c r="E11" s="29" t="s">
        <v>13</v>
      </c>
      <c r="F11" s="30">
        <v>2</v>
      </c>
      <c r="G11" s="10">
        <v>2</v>
      </c>
      <c r="H11" s="10">
        <v>2</v>
      </c>
      <c r="I11" s="51">
        <v>0</v>
      </c>
      <c r="K11" s="14">
        <f t="shared" si="0"/>
        <v>0</v>
      </c>
      <c r="L11" s="15">
        <f t="shared" si="1"/>
        <v>0</v>
      </c>
      <c r="M11" s="16">
        <f t="shared" si="2"/>
        <v>0</v>
      </c>
    </row>
    <row r="12" spans="1:35" s="3" customFormat="1" x14ac:dyDescent="0.25">
      <c r="A12" s="19">
        <v>67</v>
      </c>
      <c r="B12" s="31" t="s">
        <v>31</v>
      </c>
      <c r="C12" s="32" t="s">
        <v>32</v>
      </c>
      <c r="D12" s="33" t="s">
        <v>10</v>
      </c>
      <c r="E12" s="29" t="s">
        <v>383</v>
      </c>
      <c r="F12" s="30">
        <v>2</v>
      </c>
      <c r="G12" s="10">
        <v>2</v>
      </c>
      <c r="H12" s="10"/>
      <c r="I12" s="51">
        <v>2</v>
      </c>
      <c r="K12" s="14">
        <f t="shared" si="0"/>
        <v>2</v>
      </c>
      <c r="L12" s="15">
        <f t="shared" si="1"/>
        <v>0</v>
      </c>
      <c r="M12" s="16">
        <f t="shared" si="2"/>
        <v>2</v>
      </c>
      <c r="S12" s="53">
        <v>2</v>
      </c>
    </row>
    <row r="13" spans="1:35" s="3" customFormat="1" x14ac:dyDescent="0.25">
      <c r="A13" s="19">
        <v>68</v>
      </c>
      <c r="B13" s="31" t="s">
        <v>33</v>
      </c>
      <c r="C13" s="32" t="s">
        <v>24</v>
      </c>
      <c r="D13" s="33" t="s">
        <v>10</v>
      </c>
      <c r="E13" s="29" t="s">
        <v>14</v>
      </c>
      <c r="F13" s="30">
        <v>9</v>
      </c>
      <c r="G13" s="10">
        <v>7</v>
      </c>
      <c r="H13" s="10"/>
      <c r="I13" s="51">
        <v>9</v>
      </c>
      <c r="K13" s="14">
        <f t="shared" si="0"/>
        <v>9</v>
      </c>
      <c r="L13" s="15">
        <f t="shared" si="1"/>
        <v>0</v>
      </c>
      <c r="M13" s="16">
        <f t="shared" si="2"/>
        <v>9</v>
      </c>
      <c r="R13" s="53">
        <v>9</v>
      </c>
    </row>
    <row r="14" spans="1:35" s="3" customFormat="1" x14ac:dyDescent="0.25">
      <c r="A14" s="19">
        <v>69</v>
      </c>
      <c r="B14" s="31" t="s">
        <v>33</v>
      </c>
      <c r="C14" s="32" t="s">
        <v>26</v>
      </c>
      <c r="D14" s="33" t="s">
        <v>10</v>
      </c>
      <c r="E14" s="29" t="s">
        <v>14</v>
      </c>
      <c r="F14" s="30">
        <v>12</v>
      </c>
      <c r="G14" s="10">
        <v>10</v>
      </c>
      <c r="H14" s="10">
        <v>10</v>
      </c>
      <c r="I14" s="51">
        <v>2</v>
      </c>
      <c r="K14" s="14">
        <f t="shared" si="0"/>
        <v>2</v>
      </c>
      <c r="L14" s="15">
        <f t="shared" si="1"/>
        <v>0</v>
      </c>
      <c r="M14" s="16">
        <f t="shared" si="2"/>
        <v>2</v>
      </c>
      <c r="R14" s="53">
        <v>2</v>
      </c>
    </row>
    <row r="15" spans="1:35" s="3" customFormat="1" x14ac:dyDescent="0.25">
      <c r="A15" s="19">
        <v>70</v>
      </c>
      <c r="B15" s="31" t="s">
        <v>33</v>
      </c>
      <c r="C15" s="32" t="s">
        <v>27</v>
      </c>
      <c r="D15" s="33" t="s">
        <v>10</v>
      </c>
      <c r="E15" s="29" t="s">
        <v>14</v>
      </c>
      <c r="F15" s="30">
        <v>22</v>
      </c>
      <c r="G15" s="10">
        <v>22</v>
      </c>
      <c r="H15" s="10">
        <v>1</v>
      </c>
      <c r="I15" s="51">
        <v>21</v>
      </c>
      <c r="J15" s="3">
        <v>1</v>
      </c>
      <c r="K15" s="14">
        <f t="shared" si="0"/>
        <v>22</v>
      </c>
      <c r="L15" s="15">
        <f t="shared" si="1"/>
        <v>0</v>
      </c>
      <c r="M15" s="16">
        <f t="shared" si="2"/>
        <v>22</v>
      </c>
      <c r="N15" s="53">
        <v>1</v>
      </c>
      <c r="AA15" s="53">
        <v>20</v>
      </c>
      <c r="AG15" s="53">
        <v>1</v>
      </c>
    </row>
    <row r="16" spans="1:35" s="3" customFormat="1" x14ac:dyDescent="0.25">
      <c r="A16" s="19">
        <v>71</v>
      </c>
      <c r="B16" s="31" t="s">
        <v>33</v>
      </c>
      <c r="C16" s="32" t="s">
        <v>29</v>
      </c>
      <c r="D16" s="33" t="s">
        <v>10</v>
      </c>
      <c r="E16" s="29" t="s">
        <v>14</v>
      </c>
      <c r="F16" s="30">
        <v>10</v>
      </c>
      <c r="G16" s="10">
        <v>10</v>
      </c>
      <c r="H16" s="10">
        <v>10</v>
      </c>
      <c r="I16" s="51">
        <v>0</v>
      </c>
      <c r="K16" s="14">
        <f t="shared" si="0"/>
        <v>0</v>
      </c>
      <c r="L16" s="15">
        <f t="shared" si="1"/>
        <v>0</v>
      </c>
      <c r="M16" s="16">
        <f t="shared" si="2"/>
        <v>0</v>
      </c>
    </row>
    <row r="17" spans="1:25" s="3" customFormat="1" x14ac:dyDescent="0.25">
      <c r="A17" s="19">
        <v>72</v>
      </c>
      <c r="B17" s="31" t="s">
        <v>34</v>
      </c>
      <c r="C17" s="32" t="s">
        <v>26</v>
      </c>
      <c r="D17" s="33" t="s">
        <v>10</v>
      </c>
      <c r="E17" s="29" t="s">
        <v>384</v>
      </c>
      <c r="F17" s="30">
        <v>7</v>
      </c>
      <c r="G17" s="10">
        <v>7</v>
      </c>
      <c r="H17" s="10"/>
      <c r="I17" s="51">
        <v>7</v>
      </c>
      <c r="K17" s="14">
        <f t="shared" si="0"/>
        <v>7</v>
      </c>
      <c r="L17" s="15">
        <f t="shared" si="1"/>
        <v>0</v>
      </c>
      <c r="M17" s="16">
        <f t="shared" si="2"/>
        <v>7</v>
      </c>
      <c r="N17" s="53">
        <v>7</v>
      </c>
    </row>
    <row r="18" spans="1:25" s="3" customFormat="1" x14ac:dyDescent="0.25">
      <c r="A18" s="19">
        <v>73</v>
      </c>
      <c r="B18" s="31" t="s">
        <v>34</v>
      </c>
      <c r="C18" s="32" t="s">
        <v>27</v>
      </c>
      <c r="D18" s="33" t="s">
        <v>10</v>
      </c>
      <c r="E18" s="29" t="s">
        <v>384</v>
      </c>
      <c r="F18" s="30">
        <v>5</v>
      </c>
      <c r="G18" s="10">
        <v>5</v>
      </c>
      <c r="H18" s="10"/>
      <c r="I18" s="51">
        <v>5</v>
      </c>
      <c r="K18" s="14">
        <f t="shared" si="0"/>
        <v>5</v>
      </c>
      <c r="L18" s="15">
        <f t="shared" si="1"/>
        <v>0</v>
      </c>
      <c r="M18" s="16">
        <f t="shared" si="2"/>
        <v>5</v>
      </c>
      <c r="T18" s="53">
        <v>5</v>
      </c>
    </row>
    <row r="19" spans="1:25" s="3" customFormat="1" x14ac:dyDescent="0.25">
      <c r="A19" s="19">
        <v>74</v>
      </c>
      <c r="B19" s="31" t="s">
        <v>34</v>
      </c>
      <c r="C19" s="32" t="s">
        <v>29</v>
      </c>
      <c r="D19" s="33" t="s">
        <v>10</v>
      </c>
      <c r="E19" s="29" t="s">
        <v>384</v>
      </c>
      <c r="F19" s="30">
        <v>2</v>
      </c>
      <c r="G19" s="10">
        <v>2</v>
      </c>
      <c r="H19" s="10">
        <v>2</v>
      </c>
      <c r="I19" s="51">
        <v>0</v>
      </c>
      <c r="K19" s="14">
        <f t="shared" si="0"/>
        <v>0</v>
      </c>
      <c r="L19" s="15">
        <f t="shared" si="1"/>
        <v>0</v>
      </c>
      <c r="M19" s="16">
        <f t="shared" si="2"/>
        <v>0</v>
      </c>
    </row>
    <row r="20" spans="1:25" s="3" customFormat="1" x14ac:dyDescent="0.25">
      <c r="A20" s="19">
        <v>75</v>
      </c>
      <c r="B20" s="31" t="s">
        <v>34</v>
      </c>
      <c r="C20" s="32" t="s">
        <v>30</v>
      </c>
      <c r="D20" s="33" t="s">
        <v>10</v>
      </c>
      <c r="E20" s="29" t="s">
        <v>384</v>
      </c>
      <c r="F20" s="30">
        <v>2</v>
      </c>
      <c r="G20" s="10">
        <v>2</v>
      </c>
      <c r="H20" s="10">
        <v>2</v>
      </c>
      <c r="I20" s="51">
        <v>0</v>
      </c>
      <c r="K20" s="14">
        <f t="shared" si="0"/>
        <v>0</v>
      </c>
      <c r="L20" s="15">
        <f t="shared" si="1"/>
        <v>0</v>
      </c>
      <c r="M20" s="16">
        <f t="shared" si="2"/>
        <v>0</v>
      </c>
    </row>
    <row r="21" spans="1:25" s="3" customFormat="1" x14ac:dyDescent="0.25">
      <c r="A21" s="19">
        <v>76</v>
      </c>
      <c r="B21" s="31" t="s">
        <v>34</v>
      </c>
      <c r="C21" s="32" t="s">
        <v>32</v>
      </c>
      <c r="D21" s="33" t="s">
        <v>10</v>
      </c>
      <c r="E21" s="29" t="s">
        <v>383</v>
      </c>
      <c r="F21" s="30">
        <v>4</v>
      </c>
      <c r="G21" s="10">
        <v>4</v>
      </c>
      <c r="H21" s="10"/>
      <c r="I21" s="51">
        <v>4</v>
      </c>
      <c r="K21" s="14">
        <f t="shared" si="0"/>
        <v>4</v>
      </c>
      <c r="L21" s="15">
        <f t="shared" si="1"/>
        <v>0</v>
      </c>
      <c r="M21" s="16">
        <f t="shared" si="2"/>
        <v>4</v>
      </c>
      <c r="R21" s="53">
        <v>4</v>
      </c>
    </row>
    <row r="22" spans="1:25" s="3" customFormat="1" x14ac:dyDescent="0.25">
      <c r="A22" s="19">
        <v>77</v>
      </c>
      <c r="B22" s="31" t="s">
        <v>34</v>
      </c>
      <c r="C22" s="32" t="s">
        <v>35</v>
      </c>
      <c r="D22" s="33" t="s">
        <v>10</v>
      </c>
      <c r="E22" s="29" t="s">
        <v>383</v>
      </c>
      <c r="F22" s="30">
        <v>4</v>
      </c>
      <c r="G22" s="10">
        <v>4</v>
      </c>
      <c r="H22" s="10"/>
      <c r="I22" s="51">
        <v>4</v>
      </c>
      <c r="K22" s="14">
        <f t="shared" si="0"/>
        <v>4</v>
      </c>
      <c r="L22" s="15">
        <f t="shared" si="1"/>
        <v>0</v>
      </c>
      <c r="M22" s="16">
        <f t="shared" si="2"/>
        <v>4</v>
      </c>
      <c r="U22" s="53">
        <v>4</v>
      </c>
    </row>
    <row r="23" spans="1:25" s="3" customFormat="1" x14ac:dyDescent="0.25">
      <c r="A23" s="19">
        <v>78</v>
      </c>
      <c r="B23" s="31" t="s">
        <v>34</v>
      </c>
      <c r="C23" s="32" t="s">
        <v>36</v>
      </c>
      <c r="D23" s="33" t="s">
        <v>10</v>
      </c>
      <c r="E23" s="29" t="s">
        <v>383</v>
      </c>
      <c r="F23" s="30">
        <v>3</v>
      </c>
      <c r="G23" s="10">
        <v>3</v>
      </c>
      <c r="H23" s="10"/>
      <c r="I23" s="51">
        <v>3</v>
      </c>
      <c r="K23" s="14">
        <f t="shared" si="0"/>
        <v>3</v>
      </c>
      <c r="L23" s="15">
        <f t="shared" si="1"/>
        <v>0</v>
      </c>
      <c r="M23" s="16">
        <f t="shared" si="2"/>
        <v>3</v>
      </c>
      <c r="R23" s="53">
        <v>3</v>
      </c>
    </row>
    <row r="24" spans="1:25" s="3" customFormat="1" x14ac:dyDescent="0.25">
      <c r="A24" s="19">
        <v>79</v>
      </c>
      <c r="B24" s="31" t="s">
        <v>37</v>
      </c>
      <c r="C24" s="32" t="s">
        <v>24</v>
      </c>
      <c r="D24" s="33" t="s">
        <v>10</v>
      </c>
      <c r="E24" s="29" t="s">
        <v>13</v>
      </c>
      <c r="F24" s="30">
        <v>5</v>
      </c>
      <c r="G24" s="10">
        <v>5</v>
      </c>
      <c r="H24" s="10">
        <v>1</v>
      </c>
      <c r="I24" s="51">
        <v>4</v>
      </c>
      <c r="K24" s="14">
        <f t="shared" si="0"/>
        <v>4</v>
      </c>
      <c r="L24" s="15">
        <f t="shared" si="1"/>
        <v>0</v>
      </c>
      <c r="M24" s="16">
        <f t="shared" si="2"/>
        <v>4</v>
      </c>
      <c r="Y24" s="53">
        <v>4</v>
      </c>
    </row>
    <row r="25" spans="1:25" s="3" customFormat="1" x14ac:dyDescent="0.25">
      <c r="A25" s="60" t="s">
        <v>38</v>
      </c>
      <c r="B25" s="31" t="s">
        <v>39</v>
      </c>
      <c r="C25" s="32" t="s">
        <v>412</v>
      </c>
      <c r="D25" s="33" t="s">
        <v>10</v>
      </c>
      <c r="E25" s="29" t="s">
        <v>13</v>
      </c>
      <c r="F25" s="30">
        <v>2</v>
      </c>
      <c r="G25" s="10">
        <v>0</v>
      </c>
      <c r="H25" s="10"/>
      <c r="I25" s="51">
        <v>2</v>
      </c>
      <c r="K25" s="14">
        <f t="shared" si="0"/>
        <v>2</v>
      </c>
      <c r="L25" s="15">
        <f t="shared" si="1"/>
        <v>0</v>
      </c>
      <c r="M25" s="16">
        <f t="shared" si="2"/>
        <v>2</v>
      </c>
      <c r="N25" s="53">
        <v>2</v>
      </c>
    </row>
    <row r="26" spans="1:25" s="3" customFormat="1" x14ac:dyDescent="0.25">
      <c r="A26" s="19">
        <v>80</v>
      </c>
      <c r="B26" s="31" t="s">
        <v>40</v>
      </c>
      <c r="C26" s="32" t="s">
        <v>41</v>
      </c>
      <c r="D26" s="33" t="s">
        <v>10</v>
      </c>
      <c r="E26" s="29" t="s">
        <v>13</v>
      </c>
      <c r="F26" s="30">
        <v>1</v>
      </c>
      <c r="G26" s="10">
        <v>1</v>
      </c>
      <c r="H26" s="10">
        <v>1</v>
      </c>
      <c r="I26" s="51">
        <v>0</v>
      </c>
      <c r="K26" s="14">
        <f t="shared" si="0"/>
        <v>0</v>
      </c>
      <c r="L26" s="15">
        <f t="shared" si="1"/>
        <v>0</v>
      </c>
      <c r="M26" s="16">
        <f t="shared" si="2"/>
        <v>0</v>
      </c>
    </row>
    <row r="27" spans="1:25" s="3" customFormat="1" x14ac:dyDescent="0.25">
      <c r="A27" s="19">
        <v>81</v>
      </c>
      <c r="B27" s="31" t="s">
        <v>42</v>
      </c>
      <c r="C27" s="32" t="s">
        <v>43</v>
      </c>
      <c r="D27" s="33" t="s">
        <v>10</v>
      </c>
      <c r="E27" s="29" t="s">
        <v>13</v>
      </c>
      <c r="F27" s="30">
        <v>4</v>
      </c>
      <c r="G27" s="10">
        <v>4</v>
      </c>
      <c r="H27" s="10">
        <v>4</v>
      </c>
      <c r="I27" s="51">
        <v>0</v>
      </c>
      <c r="K27" s="14">
        <f t="shared" si="0"/>
        <v>0</v>
      </c>
      <c r="L27" s="15">
        <f t="shared" si="1"/>
        <v>0</v>
      </c>
      <c r="M27" s="16">
        <f t="shared" si="2"/>
        <v>0</v>
      </c>
    </row>
    <row r="28" spans="1:25" s="3" customFormat="1" x14ac:dyDescent="0.25">
      <c r="A28" s="19">
        <v>82</v>
      </c>
      <c r="B28" s="31" t="s">
        <v>42</v>
      </c>
      <c r="C28" s="32" t="s">
        <v>41</v>
      </c>
      <c r="D28" s="33" t="s">
        <v>10</v>
      </c>
      <c r="E28" s="29" t="s">
        <v>13</v>
      </c>
      <c r="F28" s="30">
        <v>5</v>
      </c>
      <c r="G28" s="10">
        <v>6</v>
      </c>
      <c r="H28" s="10">
        <v>3</v>
      </c>
      <c r="I28" s="51">
        <v>3</v>
      </c>
      <c r="K28" s="14">
        <f t="shared" si="0"/>
        <v>3</v>
      </c>
      <c r="L28" s="15">
        <f t="shared" si="1"/>
        <v>0</v>
      </c>
      <c r="M28" s="16">
        <f t="shared" si="2"/>
        <v>3</v>
      </c>
      <c r="N28" s="53">
        <v>3</v>
      </c>
    </row>
    <row r="29" spans="1:25" s="3" customFormat="1" x14ac:dyDescent="0.25">
      <c r="A29" s="19">
        <v>83</v>
      </c>
      <c r="B29" s="31" t="s">
        <v>42</v>
      </c>
      <c r="C29" s="32" t="s">
        <v>44</v>
      </c>
      <c r="D29" s="33" t="s">
        <v>10</v>
      </c>
      <c r="E29" s="29" t="s">
        <v>13</v>
      </c>
      <c r="F29" s="30">
        <v>5</v>
      </c>
      <c r="G29" s="10">
        <v>5</v>
      </c>
      <c r="H29" s="10">
        <v>3</v>
      </c>
      <c r="I29" s="51">
        <v>2</v>
      </c>
      <c r="K29" s="14">
        <f t="shared" si="0"/>
        <v>2</v>
      </c>
      <c r="L29" s="15">
        <f t="shared" si="1"/>
        <v>0</v>
      </c>
      <c r="M29" s="16">
        <f t="shared" si="2"/>
        <v>2</v>
      </c>
      <c r="N29" s="53">
        <v>2</v>
      </c>
    </row>
    <row r="30" spans="1:25" s="3" customFormat="1" x14ac:dyDescent="0.25">
      <c r="A30" s="19">
        <v>84</v>
      </c>
      <c r="B30" s="31" t="s">
        <v>45</v>
      </c>
      <c r="C30" s="32" t="s">
        <v>41</v>
      </c>
      <c r="D30" s="33" t="s">
        <v>10</v>
      </c>
      <c r="E30" s="29" t="s">
        <v>13</v>
      </c>
      <c r="F30" s="30">
        <v>2</v>
      </c>
      <c r="G30" s="10">
        <v>2</v>
      </c>
      <c r="H30" s="10"/>
      <c r="I30" s="51">
        <v>2</v>
      </c>
      <c r="K30" s="14">
        <f t="shared" si="0"/>
        <v>2</v>
      </c>
      <c r="L30" s="15">
        <f t="shared" si="1"/>
        <v>0</v>
      </c>
      <c r="M30" s="16">
        <f t="shared" si="2"/>
        <v>2</v>
      </c>
      <c r="N30" s="53">
        <v>2</v>
      </c>
    </row>
    <row r="31" spans="1:25" s="3" customFormat="1" x14ac:dyDescent="0.25">
      <c r="A31" s="19">
        <v>85</v>
      </c>
      <c r="B31" s="31" t="s">
        <v>45</v>
      </c>
      <c r="C31" s="32" t="s">
        <v>44</v>
      </c>
      <c r="D31" s="33" t="s">
        <v>10</v>
      </c>
      <c r="E31" s="29" t="s">
        <v>13</v>
      </c>
      <c r="F31" s="30">
        <v>3</v>
      </c>
      <c r="G31" s="10">
        <v>3</v>
      </c>
      <c r="H31" s="10"/>
      <c r="I31" s="51">
        <v>3</v>
      </c>
      <c r="K31" s="14">
        <f t="shared" si="0"/>
        <v>3</v>
      </c>
      <c r="L31" s="15">
        <f t="shared" si="1"/>
        <v>0</v>
      </c>
      <c r="M31" s="16">
        <f t="shared" si="2"/>
        <v>3</v>
      </c>
      <c r="N31" s="53">
        <v>3</v>
      </c>
    </row>
    <row r="32" spans="1:25" s="3" customFormat="1" x14ac:dyDescent="0.25">
      <c r="A32" s="19">
        <v>86</v>
      </c>
      <c r="B32" s="31" t="s">
        <v>46</v>
      </c>
      <c r="C32" s="32" t="s">
        <v>47</v>
      </c>
      <c r="D32" s="33" t="s">
        <v>10</v>
      </c>
      <c r="E32" s="29" t="s">
        <v>13</v>
      </c>
      <c r="F32" s="30">
        <v>6</v>
      </c>
      <c r="G32" s="10">
        <v>6</v>
      </c>
      <c r="H32" s="10">
        <v>6</v>
      </c>
      <c r="I32" s="51">
        <v>0</v>
      </c>
      <c r="K32" s="14">
        <f t="shared" si="0"/>
        <v>0</v>
      </c>
      <c r="L32" s="15">
        <f t="shared" si="1"/>
        <v>0</v>
      </c>
      <c r="M32" s="16">
        <f t="shared" si="2"/>
        <v>0</v>
      </c>
    </row>
    <row r="33" spans="1:33" s="3" customFormat="1" x14ac:dyDescent="0.25">
      <c r="A33" s="19">
        <v>87</v>
      </c>
      <c r="B33" s="31" t="s">
        <v>46</v>
      </c>
      <c r="C33" s="32" t="s">
        <v>48</v>
      </c>
      <c r="D33" s="33" t="s">
        <v>10</v>
      </c>
      <c r="E33" s="29" t="s">
        <v>13</v>
      </c>
      <c r="F33" s="30">
        <v>30</v>
      </c>
      <c r="G33" s="10">
        <v>34</v>
      </c>
      <c r="H33" s="10">
        <v>28</v>
      </c>
      <c r="I33" s="51">
        <v>6</v>
      </c>
      <c r="K33" s="14">
        <f t="shared" si="0"/>
        <v>6</v>
      </c>
      <c r="L33" s="15">
        <f t="shared" si="1"/>
        <v>0</v>
      </c>
      <c r="M33" s="16">
        <f t="shared" si="2"/>
        <v>6</v>
      </c>
      <c r="S33" s="53">
        <v>6</v>
      </c>
    </row>
    <row r="34" spans="1:33" s="3" customFormat="1" x14ac:dyDescent="0.25">
      <c r="A34" s="19">
        <v>88</v>
      </c>
      <c r="B34" s="31" t="s">
        <v>46</v>
      </c>
      <c r="C34" s="32" t="s">
        <v>49</v>
      </c>
      <c r="D34" s="33" t="s">
        <v>10</v>
      </c>
      <c r="E34" s="29" t="s">
        <v>13</v>
      </c>
      <c r="F34" s="30">
        <v>35</v>
      </c>
      <c r="G34" s="10">
        <v>40</v>
      </c>
      <c r="H34" s="10">
        <v>1</v>
      </c>
      <c r="I34" s="51">
        <v>39</v>
      </c>
      <c r="K34" s="14">
        <f t="shared" si="0"/>
        <v>39</v>
      </c>
      <c r="L34" s="15">
        <f t="shared" si="1"/>
        <v>0</v>
      </c>
      <c r="M34" s="16">
        <f t="shared" si="2"/>
        <v>39</v>
      </c>
      <c r="S34" s="53">
        <v>39</v>
      </c>
    </row>
    <row r="35" spans="1:33" s="3" customFormat="1" x14ac:dyDescent="0.25">
      <c r="A35" s="19">
        <v>89</v>
      </c>
      <c r="B35" s="31" t="s">
        <v>46</v>
      </c>
      <c r="C35" s="32" t="s">
        <v>50</v>
      </c>
      <c r="D35" s="33" t="s">
        <v>10</v>
      </c>
      <c r="E35" s="29" t="s">
        <v>13</v>
      </c>
      <c r="F35" s="30">
        <v>14</v>
      </c>
      <c r="G35" s="10">
        <v>13</v>
      </c>
      <c r="H35" s="10">
        <v>10</v>
      </c>
      <c r="I35" s="51">
        <v>4</v>
      </c>
      <c r="J35" s="3">
        <v>1</v>
      </c>
      <c r="K35" s="14">
        <f t="shared" si="0"/>
        <v>5</v>
      </c>
      <c r="L35" s="15">
        <f t="shared" si="1"/>
        <v>0</v>
      </c>
      <c r="M35" s="16">
        <f t="shared" si="2"/>
        <v>5</v>
      </c>
      <c r="S35" s="53">
        <v>4</v>
      </c>
      <c r="AG35" s="53">
        <v>1</v>
      </c>
    </row>
    <row r="36" spans="1:33" s="3" customFormat="1" x14ac:dyDescent="0.25">
      <c r="A36" s="19">
        <v>90</v>
      </c>
      <c r="B36" s="31" t="s">
        <v>51</v>
      </c>
      <c r="C36" s="32" t="s">
        <v>47</v>
      </c>
      <c r="D36" s="33" t="s">
        <v>10</v>
      </c>
      <c r="E36" s="29" t="s">
        <v>13</v>
      </c>
      <c r="F36" s="30">
        <v>22</v>
      </c>
      <c r="G36" s="10">
        <v>26</v>
      </c>
      <c r="H36" s="10"/>
      <c r="I36" s="51">
        <v>26</v>
      </c>
      <c r="K36" s="14">
        <f t="shared" si="0"/>
        <v>26</v>
      </c>
      <c r="L36" s="15">
        <f t="shared" si="1"/>
        <v>0</v>
      </c>
      <c r="M36" s="16">
        <f t="shared" si="2"/>
        <v>26</v>
      </c>
      <c r="S36" s="53">
        <v>26</v>
      </c>
    </row>
    <row r="37" spans="1:33" s="3" customFormat="1" x14ac:dyDescent="0.25">
      <c r="A37" s="19">
        <v>91</v>
      </c>
      <c r="B37" s="31" t="s">
        <v>52</v>
      </c>
      <c r="C37" s="32" t="s">
        <v>47</v>
      </c>
      <c r="D37" s="33" t="s">
        <v>10</v>
      </c>
      <c r="E37" s="29" t="s">
        <v>13</v>
      </c>
      <c r="F37" s="30">
        <v>52</v>
      </c>
      <c r="G37" s="10">
        <v>52</v>
      </c>
      <c r="H37" s="10">
        <v>1</v>
      </c>
      <c r="I37" s="51">
        <v>51</v>
      </c>
      <c r="K37" s="14">
        <f t="shared" si="0"/>
        <v>51</v>
      </c>
      <c r="L37" s="15">
        <f t="shared" si="1"/>
        <v>0</v>
      </c>
      <c r="M37" s="16">
        <f t="shared" si="2"/>
        <v>51</v>
      </c>
      <c r="S37" s="53">
        <v>51</v>
      </c>
    </row>
    <row r="38" spans="1:33" s="3" customFormat="1" x14ac:dyDescent="0.25">
      <c r="A38" s="19">
        <v>92</v>
      </c>
      <c r="B38" s="31" t="s">
        <v>52</v>
      </c>
      <c r="C38" s="32" t="s">
        <v>48</v>
      </c>
      <c r="D38" s="33" t="s">
        <v>10</v>
      </c>
      <c r="E38" s="29" t="s">
        <v>13</v>
      </c>
      <c r="F38" s="30">
        <v>54</v>
      </c>
      <c r="G38" s="10">
        <v>54</v>
      </c>
      <c r="H38" s="10">
        <v>12</v>
      </c>
      <c r="I38" s="51">
        <v>42</v>
      </c>
      <c r="K38" s="14">
        <f t="shared" si="0"/>
        <v>42</v>
      </c>
      <c r="L38" s="15">
        <f t="shared" si="1"/>
        <v>0</v>
      </c>
      <c r="M38" s="16">
        <f t="shared" si="2"/>
        <v>42</v>
      </c>
      <c r="S38" s="53">
        <v>42</v>
      </c>
    </row>
    <row r="39" spans="1:33" s="3" customFormat="1" x14ac:dyDescent="0.25">
      <c r="A39" s="19">
        <v>93</v>
      </c>
      <c r="B39" s="31" t="s">
        <v>52</v>
      </c>
      <c r="C39" s="32" t="s">
        <v>49</v>
      </c>
      <c r="D39" s="33" t="s">
        <v>10</v>
      </c>
      <c r="E39" s="29" t="s">
        <v>13</v>
      </c>
      <c r="F39" s="30">
        <v>38</v>
      </c>
      <c r="G39" s="10">
        <v>40</v>
      </c>
      <c r="H39" s="10"/>
      <c r="I39" s="51">
        <v>40</v>
      </c>
      <c r="K39" s="14">
        <f t="shared" si="0"/>
        <v>40</v>
      </c>
      <c r="L39" s="15">
        <f t="shared" si="1"/>
        <v>0</v>
      </c>
      <c r="M39" s="16">
        <f t="shared" si="2"/>
        <v>40</v>
      </c>
      <c r="S39" s="53">
        <v>40</v>
      </c>
    </row>
    <row r="40" spans="1:33" s="3" customFormat="1" x14ac:dyDescent="0.25">
      <c r="A40" s="19">
        <v>94</v>
      </c>
      <c r="B40" s="31" t="s">
        <v>52</v>
      </c>
      <c r="C40" s="32" t="s">
        <v>50</v>
      </c>
      <c r="D40" s="33" t="s">
        <v>10</v>
      </c>
      <c r="E40" s="29" t="s">
        <v>13</v>
      </c>
      <c r="F40" s="30">
        <v>15</v>
      </c>
      <c r="G40" s="10">
        <v>15</v>
      </c>
      <c r="H40" s="10"/>
      <c r="I40" s="51">
        <v>15</v>
      </c>
      <c r="K40" s="14">
        <f t="shared" si="0"/>
        <v>15</v>
      </c>
      <c r="L40" s="15">
        <f t="shared" si="1"/>
        <v>0</v>
      </c>
      <c r="M40" s="16">
        <f t="shared" si="2"/>
        <v>15</v>
      </c>
      <c r="S40" s="53">
        <v>15</v>
      </c>
    </row>
    <row r="41" spans="1:33" s="3" customFormat="1" x14ac:dyDescent="0.25">
      <c r="A41" s="19">
        <v>95</v>
      </c>
      <c r="B41" s="31" t="s">
        <v>52</v>
      </c>
      <c r="C41" s="32" t="s">
        <v>53</v>
      </c>
      <c r="D41" s="33" t="s">
        <v>10</v>
      </c>
      <c r="E41" s="29" t="s">
        <v>13</v>
      </c>
      <c r="F41" s="30">
        <v>8</v>
      </c>
      <c r="G41" s="10">
        <v>8</v>
      </c>
      <c r="H41" s="10"/>
      <c r="I41" s="51">
        <v>8</v>
      </c>
      <c r="K41" s="14">
        <f t="shared" si="0"/>
        <v>8</v>
      </c>
      <c r="L41" s="15">
        <f t="shared" si="1"/>
        <v>0</v>
      </c>
      <c r="M41" s="16">
        <f t="shared" si="2"/>
        <v>8</v>
      </c>
      <c r="S41" s="53">
        <v>8</v>
      </c>
    </row>
    <row r="42" spans="1:33" s="3" customFormat="1" x14ac:dyDescent="0.25">
      <c r="A42" s="19">
        <v>96</v>
      </c>
      <c r="B42" s="31" t="s">
        <v>54</v>
      </c>
      <c r="C42" s="32" t="s">
        <v>55</v>
      </c>
      <c r="D42" s="33" t="s">
        <v>10</v>
      </c>
      <c r="E42" s="29" t="s">
        <v>383</v>
      </c>
      <c r="F42" s="30">
        <v>4</v>
      </c>
      <c r="G42" s="10">
        <v>4</v>
      </c>
      <c r="H42" s="10"/>
      <c r="I42" s="51">
        <v>4</v>
      </c>
      <c r="K42" s="14">
        <f t="shared" si="0"/>
        <v>4</v>
      </c>
      <c r="L42" s="15">
        <f t="shared" si="1"/>
        <v>0</v>
      </c>
      <c r="M42" s="16">
        <f t="shared" si="2"/>
        <v>4</v>
      </c>
      <c r="S42" s="53">
        <v>4</v>
      </c>
    </row>
    <row r="43" spans="1:33" s="3" customFormat="1" x14ac:dyDescent="0.25">
      <c r="A43" s="19">
        <v>97</v>
      </c>
      <c r="B43" s="31" t="s">
        <v>54</v>
      </c>
      <c r="C43" s="32" t="s">
        <v>56</v>
      </c>
      <c r="D43" s="33" t="s">
        <v>10</v>
      </c>
      <c r="E43" s="29" t="s">
        <v>383</v>
      </c>
      <c r="F43" s="30">
        <v>10</v>
      </c>
      <c r="G43" s="10">
        <v>11</v>
      </c>
      <c r="H43" s="10"/>
      <c r="I43" s="51">
        <v>10</v>
      </c>
      <c r="K43" s="14">
        <f t="shared" si="0"/>
        <v>10</v>
      </c>
      <c r="L43" s="15">
        <f t="shared" si="1"/>
        <v>0</v>
      </c>
      <c r="M43" s="16">
        <f t="shared" si="2"/>
        <v>10</v>
      </c>
      <c r="T43" s="53">
        <v>10</v>
      </c>
    </row>
    <row r="44" spans="1:33" s="3" customFormat="1" x14ac:dyDescent="0.25">
      <c r="A44" s="19">
        <v>98</v>
      </c>
      <c r="B44" s="31" t="s">
        <v>57</v>
      </c>
      <c r="C44" s="32" t="s">
        <v>58</v>
      </c>
      <c r="D44" s="33" t="s">
        <v>10</v>
      </c>
      <c r="E44" s="29" t="s">
        <v>383</v>
      </c>
      <c r="F44" s="30">
        <v>2</v>
      </c>
      <c r="G44" s="10">
        <v>2</v>
      </c>
      <c r="H44" s="10"/>
      <c r="I44" s="51">
        <v>2</v>
      </c>
      <c r="K44" s="14">
        <f t="shared" si="0"/>
        <v>2</v>
      </c>
      <c r="L44" s="15">
        <f t="shared" si="1"/>
        <v>0</v>
      </c>
      <c r="M44" s="16">
        <f t="shared" si="2"/>
        <v>2</v>
      </c>
      <c r="S44" s="53">
        <v>2</v>
      </c>
    </row>
    <row r="45" spans="1:33" s="3" customFormat="1" x14ac:dyDescent="0.25">
      <c r="A45" s="19">
        <v>99</v>
      </c>
      <c r="B45" s="59" t="s">
        <v>59</v>
      </c>
      <c r="C45" s="32" t="s">
        <v>47</v>
      </c>
      <c r="D45" s="33"/>
      <c r="E45" s="29" t="s">
        <v>14</v>
      </c>
      <c r="F45" s="30">
        <v>422</v>
      </c>
      <c r="G45" s="10">
        <v>409</v>
      </c>
      <c r="H45" s="10"/>
      <c r="I45" s="51">
        <v>422</v>
      </c>
      <c r="J45" s="3">
        <v>1</v>
      </c>
      <c r="K45" s="14">
        <f t="shared" si="0"/>
        <v>423</v>
      </c>
      <c r="L45" s="15">
        <f t="shared" si="1"/>
        <v>0</v>
      </c>
      <c r="M45" s="16">
        <f t="shared" si="2"/>
        <v>423</v>
      </c>
      <c r="N45" s="53">
        <v>325</v>
      </c>
      <c r="R45" s="53">
        <v>18</v>
      </c>
      <c r="T45" s="53">
        <v>79</v>
      </c>
      <c r="AG45" s="53">
        <v>1</v>
      </c>
    </row>
    <row r="46" spans="1:33" s="3" customFormat="1" x14ac:dyDescent="0.25">
      <c r="A46" s="19">
        <v>100</v>
      </c>
      <c r="B46" s="31" t="s">
        <v>59</v>
      </c>
      <c r="C46" s="32" t="s">
        <v>48</v>
      </c>
      <c r="D46" s="33" t="s">
        <v>10</v>
      </c>
      <c r="E46" s="29" t="s">
        <v>14</v>
      </c>
      <c r="F46" s="30">
        <v>307</v>
      </c>
      <c r="G46" s="10">
        <v>282</v>
      </c>
      <c r="H46" s="10"/>
      <c r="I46" s="51">
        <v>307</v>
      </c>
      <c r="K46" s="14">
        <f t="shared" si="0"/>
        <v>307</v>
      </c>
      <c r="L46" s="15">
        <f t="shared" si="1"/>
        <v>0</v>
      </c>
      <c r="M46" s="16">
        <f t="shared" si="2"/>
        <v>307</v>
      </c>
      <c r="U46" s="53">
        <v>120</v>
      </c>
      <c r="AA46" s="53">
        <v>187</v>
      </c>
    </row>
    <row r="47" spans="1:33" s="3" customFormat="1" x14ac:dyDescent="0.25">
      <c r="A47" s="19">
        <v>101</v>
      </c>
      <c r="B47" s="31" t="s">
        <v>59</v>
      </c>
      <c r="C47" s="32" t="s">
        <v>49</v>
      </c>
      <c r="D47" s="33" t="s">
        <v>10</v>
      </c>
      <c r="E47" s="29" t="s">
        <v>14</v>
      </c>
      <c r="F47" s="30">
        <v>206</v>
      </c>
      <c r="G47" s="10">
        <v>200</v>
      </c>
      <c r="H47" s="10">
        <v>3</v>
      </c>
      <c r="I47" s="51">
        <v>203</v>
      </c>
      <c r="K47" s="14">
        <f t="shared" si="0"/>
        <v>203</v>
      </c>
      <c r="L47" s="15">
        <f t="shared" si="1"/>
        <v>0</v>
      </c>
      <c r="M47" s="16">
        <f t="shared" si="2"/>
        <v>203</v>
      </c>
      <c r="N47" s="53">
        <v>1</v>
      </c>
      <c r="R47" s="53">
        <v>37</v>
      </c>
      <c r="AA47" s="53">
        <v>165</v>
      </c>
    </row>
    <row r="48" spans="1:33" s="3" customFormat="1" x14ac:dyDescent="0.25">
      <c r="A48" s="19">
        <v>102</v>
      </c>
      <c r="B48" s="31" t="s">
        <v>59</v>
      </c>
      <c r="C48" s="32" t="s">
        <v>50</v>
      </c>
      <c r="D48" s="33" t="s">
        <v>10</v>
      </c>
      <c r="E48" s="29" t="s">
        <v>14</v>
      </c>
      <c r="F48" s="30">
        <v>34</v>
      </c>
      <c r="G48" s="10">
        <v>31</v>
      </c>
      <c r="H48" s="10">
        <v>4</v>
      </c>
      <c r="I48" s="51">
        <v>30</v>
      </c>
      <c r="J48" s="3">
        <v>2</v>
      </c>
      <c r="K48" s="14">
        <f t="shared" si="0"/>
        <v>32</v>
      </c>
      <c r="L48" s="15">
        <f t="shared" si="1"/>
        <v>0</v>
      </c>
      <c r="M48" s="16">
        <f t="shared" si="2"/>
        <v>32</v>
      </c>
      <c r="T48" s="53">
        <v>30</v>
      </c>
      <c r="AG48" s="53">
        <v>2</v>
      </c>
    </row>
    <row r="49" spans="1:33" s="3" customFormat="1" x14ac:dyDescent="0.25">
      <c r="A49" s="19">
        <v>103</v>
      </c>
      <c r="B49" s="31" t="s">
        <v>60</v>
      </c>
      <c r="C49" s="32" t="s">
        <v>48</v>
      </c>
      <c r="D49" s="33" t="s">
        <v>10</v>
      </c>
      <c r="E49" s="29" t="s">
        <v>384</v>
      </c>
      <c r="F49" s="30">
        <v>190</v>
      </c>
      <c r="G49" s="10">
        <v>190</v>
      </c>
      <c r="H49" s="10">
        <v>48</v>
      </c>
      <c r="I49" s="51">
        <v>142</v>
      </c>
      <c r="J49" s="3">
        <v>7</v>
      </c>
      <c r="K49" s="14">
        <f t="shared" si="0"/>
        <v>149</v>
      </c>
      <c r="L49" s="15">
        <f t="shared" si="1"/>
        <v>0</v>
      </c>
      <c r="M49" s="16">
        <f t="shared" si="2"/>
        <v>149</v>
      </c>
      <c r="T49" s="53">
        <v>142</v>
      </c>
      <c r="AG49" s="53">
        <v>7</v>
      </c>
    </row>
    <row r="50" spans="1:33" s="3" customFormat="1" x14ac:dyDescent="0.25">
      <c r="A50" s="19">
        <v>104</v>
      </c>
      <c r="B50" s="31" t="s">
        <v>60</v>
      </c>
      <c r="C50" s="32" t="s">
        <v>49</v>
      </c>
      <c r="D50" s="33" t="s">
        <v>10</v>
      </c>
      <c r="E50" s="29" t="s">
        <v>384</v>
      </c>
      <c r="F50" s="30">
        <v>111</v>
      </c>
      <c r="G50" s="10">
        <v>111</v>
      </c>
      <c r="H50" s="10">
        <v>26</v>
      </c>
      <c r="I50" s="51">
        <v>85</v>
      </c>
      <c r="K50" s="14">
        <f t="shared" si="0"/>
        <v>85</v>
      </c>
      <c r="L50" s="15">
        <f t="shared" si="1"/>
        <v>0</v>
      </c>
      <c r="M50" s="16">
        <f t="shared" si="2"/>
        <v>85</v>
      </c>
      <c r="N50" s="53">
        <v>6</v>
      </c>
      <c r="R50" s="53">
        <v>79</v>
      </c>
    </row>
    <row r="51" spans="1:33" s="3" customFormat="1" x14ac:dyDescent="0.25">
      <c r="A51" s="19">
        <v>105</v>
      </c>
      <c r="B51" s="31" t="s">
        <v>60</v>
      </c>
      <c r="C51" s="32" t="s">
        <v>50</v>
      </c>
      <c r="D51" s="33" t="s">
        <v>10</v>
      </c>
      <c r="E51" s="29" t="s">
        <v>384</v>
      </c>
      <c r="F51" s="30">
        <v>135</v>
      </c>
      <c r="G51" s="10">
        <v>131</v>
      </c>
      <c r="H51" s="10">
        <v>135</v>
      </c>
      <c r="I51" s="51">
        <v>0</v>
      </c>
      <c r="K51" s="14">
        <f t="shared" si="0"/>
        <v>0</v>
      </c>
      <c r="L51" s="15">
        <f t="shared" si="1"/>
        <v>0</v>
      </c>
      <c r="M51" s="16">
        <f t="shared" si="2"/>
        <v>0</v>
      </c>
    </row>
    <row r="52" spans="1:33" s="3" customFormat="1" x14ac:dyDescent="0.25">
      <c r="A52" s="19">
        <v>106</v>
      </c>
      <c r="B52" s="31" t="s">
        <v>60</v>
      </c>
      <c r="C52" s="32" t="s">
        <v>53</v>
      </c>
      <c r="D52" s="33" t="s">
        <v>10</v>
      </c>
      <c r="E52" s="29" t="s">
        <v>384</v>
      </c>
      <c r="F52" s="30">
        <v>58</v>
      </c>
      <c r="G52" s="10">
        <v>58</v>
      </c>
      <c r="H52" s="10">
        <v>33</v>
      </c>
      <c r="I52" s="51">
        <v>25</v>
      </c>
      <c r="K52" s="14">
        <f t="shared" si="0"/>
        <v>25</v>
      </c>
      <c r="L52" s="15">
        <f t="shared" si="1"/>
        <v>0</v>
      </c>
      <c r="M52" s="16">
        <f t="shared" si="2"/>
        <v>25</v>
      </c>
      <c r="N52" s="53">
        <v>25</v>
      </c>
    </row>
    <row r="53" spans="1:33" s="3" customFormat="1" x14ac:dyDescent="0.25">
      <c r="A53" s="19">
        <v>107</v>
      </c>
      <c r="B53" s="31" t="s">
        <v>60</v>
      </c>
      <c r="C53" s="32" t="s">
        <v>56</v>
      </c>
      <c r="D53" s="33" t="s">
        <v>10</v>
      </c>
      <c r="E53" s="29" t="s">
        <v>385</v>
      </c>
      <c r="F53" s="30">
        <v>19</v>
      </c>
      <c r="G53" s="10">
        <v>19</v>
      </c>
      <c r="H53" s="10">
        <v>6</v>
      </c>
      <c r="I53" s="51">
        <v>13</v>
      </c>
      <c r="K53" s="14">
        <f t="shared" si="0"/>
        <v>13</v>
      </c>
      <c r="L53" s="15">
        <f t="shared" si="1"/>
        <v>0</v>
      </c>
      <c r="M53" s="16">
        <f t="shared" si="2"/>
        <v>13</v>
      </c>
      <c r="R53" s="53">
        <v>13</v>
      </c>
    </row>
    <row r="54" spans="1:33" s="3" customFormat="1" x14ac:dyDescent="0.25">
      <c r="A54" s="19">
        <v>108</v>
      </c>
      <c r="B54" s="31" t="s">
        <v>60</v>
      </c>
      <c r="C54" s="32" t="s">
        <v>61</v>
      </c>
      <c r="D54" s="33" t="s">
        <v>10</v>
      </c>
      <c r="E54" s="29" t="s">
        <v>385</v>
      </c>
      <c r="F54" s="30">
        <v>2</v>
      </c>
      <c r="G54" s="10">
        <v>2</v>
      </c>
      <c r="H54" s="10">
        <v>1</v>
      </c>
      <c r="I54" s="51">
        <v>1</v>
      </c>
      <c r="K54" s="14">
        <f t="shared" si="0"/>
        <v>1</v>
      </c>
      <c r="L54" s="15">
        <f t="shared" si="1"/>
        <v>0</v>
      </c>
      <c r="M54" s="16">
        <f t="shared" si="2"/>
        <v>1</v>
      </c>
      <c r="R54" s="53">
        <v>1</v>
      </c>
    </row>
    <row r="55" spans="1:33" s="3" customFormat="1" x14ac:dyDescent="0.25">
      <c r="A55" s="19">
        <v>109</v>
      </c>
      <c r="B55" s="31" t="s">
        <v>60</v>
      </c>
      <c r="C55" s="32" t="s">
        <v>62</v>
      </c>
      <c r="D55" s="33" t="s">
        <v>10</v>
      </c>
      <c r="E55" s="29" t="s">
        <v>385</v>
      </c>
      <c r="F55" s="30">
        <v>6</v>
      </c>
      <c r="G55" s="10">
        <v>6</v>
      </c>
      <c r="H55" s="10"/>
      <c r="I55" s="51">
        <v>6</v>
      </c>
      <c r="K55" s="14">
        <f t="shared" si="0"/>
        <v>6</v>
      </c>
      <c r="L55" s="15">
        <f t="shared" si="1"/>
        <v>0</v>
      </c>
      <c r="M55" s="16">
        <f t="shared" si="2"/>
        <v>6</v>
      </c>
      <c r="Y55" s="53">
        <v>6</v>
      </c>
    </row>
    <row r="56" spans="1:33" s="3" customFormat="1" x14ac:dyDescent="0.25">
      <c r="A56" s="19">
        <v>110</v>
      </c>
      <c r="B56" s="31" t="s">
        <v>63</v>
      </c>
      <c r="C56" s="32" t="s">
        <v>47</v>
      </c>
      <c r="D56" s="33" t="s">
        <v>10</v>
      </c>
      <c r="E56" s="29" t="s">
        <v>14</v>
      </c>
      <c r="F56" s="30">
        <v>59</v>
      </c>
      <c r="G56" s="10">
        <v>59</v>
      </c>
      <c r="H56" s="10">
        <v>4</v>
      </c>
      <c r="I56" s="51">
        <v>55</v>
      </c>
      <c r="K56" s="14">
        <f t="shared" si="0"/>
        <v>55</v>
      </c>
      <c r="L56" s="15">
        <f t="shared" si="1"/>
        <v>0</v>
      </c>
      <c r="M56" s="16">
        <f t="shared" si="2"/>
        <v>55</v>
      </c>
      <c r="N56" s="53">
        <v>55</v>
      </c>
    </row>
    <row r="57" spans="1:33" s="3" customFormat="1" x14ac:dyDescent="0.25">
      <c r="A57" s="19">
        <v>111</v>
      </c>
      <c r="B57" s="31" t="s">
        <v>63</v>
      </c>
      <c r="C57" s="32" t="s">
        <v>48</v>
      </c>
      <c r="D57" s="33" t="s">
        <v>10</v>
      </c>
      <c r="E57" s="29" t="s">
        <v>14</v>
      </c>
      <c r="F57" s="30">
        <v>3</v>
      </c>
      <c r="G57" s="10">
        <v>3</v>
      </c>
      <c r="H57" s="10">
        <v>3</v>
      </c>
      <c r="I57" s="51">
        <v>0</v>
      </c>
      <c r="K57" s="14">
        <f t="shared" si="0"/>
        <v>0</v>
      </c>
      <c r="L57" s="15">
        <f t="shared" si="1"/>
        <v>0</v>
      </c>
      <c r="M57" s="16">
        <f t="shared" si="2"/>
        <v>0</v>
      </c>
    </row>
    <row r="58" spans="1:33" s="3" customFormat="1" x14ac:dyDescent="0.25">
      <c r="A58" s="19">
        <v>112</v>
      </c>
      <c r="B58" s="31" t="s">
        <v>63</v>
      </c>
      <c r="C58" s="32" t="s">
        <v>50</v>
      </c>
      <c r="D58" s="33" t="s">
        <v>10</v>
      </c>
      <c r="E58" s="29" t="s">
        <v>14</v>
      </c>
      <c r="F58" s="30">
        <v>8</v>
      </c>
      <c r="G58" s="10">
        <v>8</v>
      </c>
      <c r="H58" s="10"/>
      <c r="I58" s="51">
        <v>8</v>
      </c>
      <c r="K58" s="14">
        <f t="shared" si="0"/>
        <v>8</v>
      </c>
      <c r="L58" s="15">
        <f t="shared" si="1"/>
        <v>0</v>
      </c>
      <c r="M58" s="16">
        <f t="shared" si="2"/>
        <v>8</v>
      </c>
      <c r="N58" s="53">
        <v>8</v>
      </c>
    </row>
    <row r="59" spans="1:33" s="3" customFormat="1" x14ac:dyDescent="0.25">
      <c r="A59" s="19">
        <v>113</v>
      </c>
      <c r="B59" s="31" t="s">
        <v>63</v>
      </c>
      <c r="C59" s="32" t="s">
        <v>53</v>
      </c>
      <c r="D59" s="33" t="s">
        <v>10</v>
      </c>
      <c r="E59" s="29" t="s">
        <v>14</v>
      </c>
      <c r="F59" s="30">
        <v>1</v>
      </c>
      <c r="G59" s="10">
        <v>1</v>
      </c>
      <c r="H59" s="10"/>
      <c r="I59" s="51">
        <v>1</v>
      </c>
      <c r="K59" s="14">
        <f t="shared" si="0"/>
        <v>1</v>
      </c>
      <c r="L59" s="15">
        <f t="shared" si="1"/>
        <v>0</v>
      </c>
      <c r="M59" s="16">
        <f t="shared" si="2"/>
        <v>1</v>
      </c>
      <c r="R59" s="53">
        <v>1</v>
      </c>
    </row>
    <row r="60" spans="1:33" s="3" customFormat="1" x14ac:dyDescent="0.25">
      <c r="A60" s="19">
        <v>114</v>
      </c>
      <c r="B60" s="31" t="s">
        <v>63</v>
      </c>
      <c r="C60" s="32" t="s">
        <v>64</v>
      </c>
      <c r="D60" s="33" t="s">
        <v>10</v>
      </c>
      <c r="E60" s="29" t="s">
        <v>385</v>
      </c>
      <c r="F60" s="30">
        <v>1</v>
      </c>
      <c r="G60" s="10">
        <v>1</v>
      </c>
      <c r="H60" s="10"/>
      <c r="I60" s="51">
        <v>1</v>
      </c>
      <c r="K60" s="14">
        <f t="shared" si="0"/>
        <v>1</v>
      </c>
      <c r="L60" s="15">
        <f t="shared" si="1"/>
        <v>0</v>
      </c>
      <c r="M60" s="16">
        <f t="shared" si="2"/>
        <v>1</v>
      </c>
      <c r="N60" s="53">
        <v>1</v>
      </c>
    </row>
    <row r="61" spans="1:33" s="3" customFormat="1" x14ac:dyDescent="0.25">
      <c r="A61" s="19">
        <v>115</v>
      </c>
      <c r="B61" s="31" t="s">
        <v>65</v>
      </c>
      <c r="C61" s="32" t="s">
        <v>66</v>
      </c>
      <c r="D61" s="33" t="s">
        <v>10</v>
      </c>
      <c r="E61" s="29" t="s">
        <v>384</v>
      </c>
      <c r="F61" s="30">
        <v>4</v>
      </c>
      <c r="G61" s="10">
        <v>4</v>
      </c>
      <c r="H61" s="10">
        <v>4</v>
      </c>
      <c r="I61" s="51">
        <v>0</v>
      </c>
      <c r="K61" s="14">
        <f t="shared" si="0"/>
        <v>0</v>
      </c>
      <c r="L61" s="15">
        <f t="shared" si="1"/>
        <v>0</v>
      </c>
      <c r="M61" s="16">
        <f t="shared" si="2"/>
        <v>0</v>
      </c>
    </row>
    <row r="62" spans="1:33" s="3" customFormat="1" x14ac:dyDescent="0.25">
      <c r="A62" s="19">
        <v>116</v>
      </c>
      <c r="B62" s="31" t="s">
        <v>65</v>
      </c>
      <c r="C62" s="32" t="s">
        <v>67</v>
      </c>
      <c r="D62" s="33" t="s">
        <v>10</v>
      </c>
      <c r="E62" s="29" t="s">
        <v>385</v>
      </c>
      <c r="F62" s="30">
        <v>3</v>
      </c>
      <c r="G62" s="10">
        <v>3</v>
      </c>
      <c r="H62" s="10">
        <v>3</v>
      </c>
      <c r="I62" s="51">
        <v>0</v>
      </c>
      <c r="K62" s="14">
        <f t="shared" si="0"/>
        <v>0</v>
      </c>
      <c r="L62" s="15">
        <f t="shared" si="1"/>
        <v>0</v>
      </c>
      <c r="M62" s="16">
        <f t="shared" si="2"/>
        <v>0</v>
      </c>
    </row>
    <row r="63" spans="1:33" s="3" customFormat="1" x14ac:dyDescent="0.25">
      <c r="A63" s="19">
        <v>117</v>
      </c>
      <c r="B63" s="31" t="s">
        <v>65</v>
      </c>
      <c r="C63" s="32" t="s">
        <v>68</v>
      </c>
      <c r="D63" s="33" t="s">
        <v>10</v>
      </c>
      <c r="E63" s="29" t="s">
        <v>385</v>
      </c>
      <c r="F63" s="30">
        <v>2</v>
      </c>
      <c r="G63" s="10">
        <v>2</v>
      </c>
      <c r="H63" s="10" t="s">
        <v>381</v>
      </c>
      <c r="I63" s="51">
        <v>2</v>
      </c>
      <c r="K63" s="14">
        <f t="shared" si="0"/>
        <v>2</v>
      </c>
      <c r="L63" s="15">
        <f t="shared" si="1"/>
        <v>0</v>
      </c>
      <c r="M63" s="16">
        <f t="shared" si="2"/>
        <v>2</v>
      </c>
      <c r="N63" s="53">
        <v>2</v>
      </c>
    </row>
    <row r="64" spans="1:33" s="3" customFormat="1" x14ac:dyDescent="0.25">
      <c r="A64" s="19">
        <v>118</v>
      </c>
      <c r="B64" s="31" t="s">
        <v>65</v>
      </c>
      <c r="C64" s="32" t="s">
        <v>69</v>
      </c>
      <c r="D64" s="33" t="s">
        <v>10</v>
      </c>
      <c r="E64" s="29" t="s">
        <v>385</v>
      </c>
      <c r="F64" s="30">
        <v>9</v>
      </c>
      <c r="G64" s="10">
        <v>9</v>
      </c>
      <c r="H64" s="10"/>
      <c r="I64" s="51">
        <v>9</v>
      </c>
      <c r="K64" s="14">
        <f t="shared" si="0"/>
        <v>9</v>
      </c>
      <c r="L64" s="15">
        <f t="shared" si="1"/>
        <v>0</v>
      </c>
      <c r="M64" s="16">
        <f t="shared" si="2"/>
        <v>9</v>
      </c>
      <c r="U64" s="53">
        <v>5</v>
      </c>
      <c r="Y64" s="53">
        <v>3</v>
      </c>
      <c r="AA64" s="53">
        <v>1</v>
      </c>
    </row>
    <row r="65" spans="1:26" s="3" customFormat="1" x14ac:dyDescent="0.25">
      <c r="A65" s="19">
        <v>119</v>
      </c>
      <c r="B65" s="31" t="s">
        <v>70</v>
      </c>
      <c r="C65" s="32" t="s">
        <v>71</v>
      </c>
      <c r="D65" s="33" t="s">
        <v>10</v>
      </c>
      <c r="E65" s="29" t="s">
        <v>13</v>
      </c>
      <c r="F65" s="30">
        <v>1</v>
      </c>
      <c r="G65" s="10">
        <v>1</v>
      </c>
      <c r="H65" s="10"/>
      <c r="I65" s="51">
        <v>1</v>
      </c>
      <c r="K65" s="14">
        <f t="shared" si="0"/>
        <v>1</v>
      </c>
      <c r="L65" s="15">
        <f t="shared" si="1"/>
        <v>0</v>
      </c>
      <c r="M65" s="16">
        <f t="shared" si="2"/>
        <v>1</v>
      </c>
      <c r="N65" s="53">
        <v>1</v>
      </c>
    </row>
    <row r="66" spans="1:26" s="3" customFormat="1" x14ac:dyDescent="0.25">
      <c r="A66" s="19">
        <v>120</v>
      </c>
      <c r="B66" s="31" t="s">
        <v>70</v>
      </c>
      <c r="C66" s="32" t="s">
        <v>72</v>
      </c>
      <c r="D66" s="33" t="s">
        <v>10</v>
      </c>
      <c r="E66" s="29" t="s">
        <v>13</v>
      </c>
      <c r="F66" s="30">
        <v>103</v>
      </c>
      <c r="G66" s="10">
        <v>103</v>
      </c>
      <c r="H66" s="10"/>
      <c r="I66" s="51">
        <v>103</v>
      </c>
      <c r="K66" s="14">
        <f t="shared" si="0"/>
        <v>103</v>
      </c>
      <c r="L66" s="15">
        <f t="shared" si="1"/>
        <v>0</v>
      </c>
      <c r="M66" s="16">
        <f t="shared" si="2"/>
        <v>103</v>
      </c>
      <c r="N66" s="53">
        <v>103</v>
      </c>
    </row>
    <row r="67" spans="1:26" s="3" customFormat="1" x14ac:dyDescent="0.25">
      <c r="A67" s="19">
        <v>121</v>
      </c>
      <c r="B67" s="31" t="s">
        <v>73</v>
      </c>
      <c r="C67" s="32" t="s">
        <v>74</v>
      </c>
      <c r="D67" s="33" t="s">
        <v>10</v>
      </c>
      <c r="E67" s="29" t="s">
        <v>13</v>
      </c>
      <c r="F67" s="30">
        <v>3</v>
      </c>
      <c r="G67" s="10">
        <v>6</v>
      </c>
      <c r="H67" s="10">
        <v>2</v>
      </c>
      <c r="I67" s="51">
        <v>4</v>
      </c>
      <c r="J67" s="3">
        <v>2</v>
      </c>
      <c r="K67" s="14">
        <f t="shared" si="0"/>
        <v>6</v>
      </c>
      <c r="L67" s="15">
        <f t="shared" si="1"/>
        <v>0</v>
      </c>
      <c r="M67" s="16">
        <f t="shared" si="2"/>
        <v>6</v>
      </c>
      <c r="N67" s="53">
        <v>4</v>
      </c>
      <c r="X67" s="53">
        <v>2</v>
      </c>
    </row>
    <row r="68" spans="1:26" s="3" customFormat="1" x14ac:dyDescent="0.25">
      <c r="A68" s="19">
        <v>122</v>
      </c>
      <c r="B68" s="31" t="s">
        <v>73</v>
      </c>
      <c r="C68" s="32" t="s">
        <v>75</v>
      </c>
      <c r="D68" s="33" t="s">
        <v>10</v>
      </c>
      <c r="E68" s="29" t="s">
        <v>13</v>
      </c>
      <c r="F68" s="30">
        <v>33</v>
      </c>
      <c r="G68" s="10">
        <v>29</v>
      </c>
      <c r="H68" s="10">
        <v>33</v>
      </c>
      <c r="I68" s="51">
        <v>0</v>
      </c>
      <c r="J68" s="3">
        <v>1</v>
      </c>
      <c r="K68" s="14">
        <f t="shared" ref="K68:K131" si="3">SUM(I68:J68)</f>
        <v>1</v>
      </c>
      <c r="L68" s="15">
        <f t="shared" si="1"/>
        <v>0</v>
      </c>
      <c r="M68" s="16">
        <f t="shared" si="2"/>
        <v>1</v>
      </c>
      <c r="X68" s="53">
        <v>1</v>
      </c>
    </row>
    <row r="69" spans="1:26" s="3" customFormat="1" x14ac:dyDescent="0.25">
      <c r="A69" s="19">
        <v>123</v>
      </c>
      <c r="B69" s="31" t="s">
        <v>73</v>
      </c>
      <c r="C69" s="32" t="s">
        <v>76</v>
      </c>
      <c r="D69" s="33" t="s">
        <v>10</v>
      </c>
      <c r="E69" s="29" t="s">
        <v>13</v>
      </c>
      <c r="F69" s="30">
        <v>8</v>
      </c>
      <c r="G69" s="10">
        <v>11</v>
      </c>
      <c r="H69" s="10">
        <v>8</v>
      </c>
      <c r="I69" s="51">
        <v>3</v>
      </c>
      <c r="K69" s="14">
        <f t="shared" si="3"/>
        <v>3</v>
      </c>
      <c r="L69" s="15">
        <f t="shared" ref="L69:L132" si="4">+M69-K69</f>
        <v>0</v>
      </c>
      <c r="M69" s="16">
        <f t="shared" ref="M69:M132" si="5">SUM(N69:EA69)</f>
        <v>3</v>
      </c>
      <c r="N69" s="53">
        <v>3</v>
      </c>
    </row>
    <row r="70" spans="1:26" s="3" customFormat="1" x14ac:dyDescent="0.25">
      <c r="A70" s="19">
        <v>124</v>
      </c>
      <c r="B70" s="31" t="s">
        <v>77</v>
      </c>
      <c r="C70" s="32" t="s">
        <v>75</v>
      </c>
      <c r="D70" s="33" t="s">
        <v>10</v>
      </c>
      <c r="E70" s="29" t="s">
        <v>13</v>
      </c>
      <c r="F70" s="30">
        <v>3</v>
      </c>
      <c r="G70" s="10">
        <v>3</v>
      </c>
      <c r="H70" s="10"/>
      <c r="I70" s="51">
        <v>3</v>
      </c>
      <c r="J70" s="3">
        <v>4</v>
      </c>
      <c r="K70" s="14">
        <f t="shared" si="3"/>
        <v>7</v>
      </c>
      <c r="L70" s="15">
        <f t="shared" si="4"/>
        <v>0</v>
      </c>
      <c r="M70" s="16">
        <f t="shared" si="5"/>
        <v>7</v>
      </c>
      <c r="N70" s="53">
        <v>3</v>
      </c>
      <c r="X70" s="53">
        <v>4</v>
      </c>
    </row>
    <row r="71" spans="1:26" s="3" customFormat="1" x14ac:dyDescent="0.25">
      <c r="A71" s="19">
        <v>125</v>
      </c>
      <c r="B71" s="31" t="s">
        <v>77</v>
      </c>
      <c r="C71" s="32" t="s">
        <v>76</v>
      </c>
      <c r="D71" s="33" t="s">
        <v>10</v>
      </c>
      <c r="E71" s="29" t="s">
        <v>13</v>
      </c>
      <c r="F71" s="30">
        <v>107</v>
      </c>
      <c r="G71" s="10">
        <v>107</v>
      </c>
      <c r="H71" s="10"/>
      <c r="I71" s="51">
        <v>107</v>
      </c>
      <c r="J71" s="3">
        <v>2</v>
      </c>
      <c r="K71" s="14">
        <f t="shared" si="3"/>
        <v>109</v>
      </c>
      <c r="L71" s="15">
        <f t="shared" si="4"/>
        <v>0</v>
      </c>
      <c r="M71" s="16">
        <f t="shared" si="5"/>
        <v>109</v>
      </c>
      <c r="Y71" s="53">
        <v>107</v>
      </c>
      <c r="Z71" s="53">
        <v>2</v>
      </c>
    </row>
    <row r="72" spans="1:26" s="3" customFormat="1" x14ac:dyDescent="0.25">
      <c r="A72" s="19">
        <v>126</v>
      </c>
      <c r="B72" s="31" t="s">
        <v>77</v>
      </c>
      <c r="C72" s="32" t="s">
        <v>78</v>
      </c>
      <c r="D72" s="33" t="s">
        <v>10</v>
      </c>
      <c r="E72" s="29" t="s">
        <v>13</v>
      </c>
      <c r="F72" s="30">
        <v>4</v>
      </c>
      <c r="G72" s="10">
        <v>3</v>
      </c>
      <c r="H72" s="10"/>
      <c r="I72" s="51">
        <v>4</v>
      </c>
      <c r="K72" s="14">
        <f t="shared" si="3"/>
        <v>4</v>
      </c>
      <c r="L72" s="15">
        <f t="shared" si="4"/>
        <v>0</v>
      </c>
      <c r="M72" s="16">
        <f t="shared" si="5"/>
        <v>4</v>
      </c>
      <c r="R72" s="53">
        <v>4</v>
      </c>
    </row>
    <row r="73" spans="1:26" s="3" customFormat="1" x14ac:dyDescent="0.25">
      <c r="A73" s="19">
        <v>127</v>
      </c>
      <c r="B73" s="31" t="s">
        <v>79</v>
      </c>
      <c r="C73" s="32" t="s">
        <v>74</v>
      </c>
      <c r="D73" s="33" t="s">
        <v>10</v>
      </c>
      <c r="E73" s="29" t="s">
        <v>13</v>
      </c>
      <c r="F73" s="30">
        <v>14</v>
      </c>
      <c r="G73" s="10">
        <v>5</v>
      </c>
      <c r="H73" s="10"/>
      <c r="I73" s="51">
        <v>14</v>
      </c>
      <c r="K73" s="14">
        <f t="shared" si="3"/>
        <v>14</v>
      </c>
      <c r="L73" s="15">
        <f t="shared" si="4"/>
        <v>0</v>
      </c>
      <c r="M73" s="16">
        <f t="shared" si="5"/>
        <v>14</v>
      </c>
      <c r="N73" s="53">
        <v>14</v>
      </c>
    </row>
    <row r="74" spans="1:26" s="3" customFormat="1" x14ac:dyDescent="0.25">
      <c r="A74" s="19">
        <v>128</v>
      </c>
      <c r="B74" s="31" t="s">
        <v>79</v>
      </c>
      <c r="C74" s="32" t="s">
        <v>75</v>
      </c>
      <c r="D74" s="33" t="s">
        <v>10</v>
      </c>
      <c r="E74" s="29" t="s">
        <v>13</v>
      </c>
      <c r="F74" s="30">
        <v>131</v>
      </c>
      <c r="G74" s="10">
        <v>132</v>
      </c>
      <c r="H74" s="10"/>
      <c r="I74" s="51">
        <v>132</v>
      </c>
      <c r="K74" s="14">
        <f t="shared" si="3"/>
        <v>132</v>
      </c>
      <c r="L74" s="15">
        <f t="shared" si="4"/>
        <v>0</v>
      </c>
      <c r="M74" s="16">
        <f t="shared" si="5"/>
        <v>132</v>
      </c>
      <c r="N74" s="53">
        <v>132</v>
      </c>
    </row>
    <row r="75" spans="1:26" s="3" customFormat="1" x14ac:dyDescent="0.25">
      <c r="A75" s="19">
        <v>129</v>
      </c>
      <c r="B75" s="31" t="s">
        <v>79</v>
      </c>
      <c r="C75" s="32" t="s">
        <v>76</v>
      </c>
      <c r="D75" s="33" t="s">
        <v>10</v>
      </c>
      <c r="E75" s="29" t="s">
        <v>13</v>
      </c>
      <c r="F75" s="30">
        <v>381</v>
      </c>
      <c r="G75" s="10">
        <v>385</v>
      </c>
      <c r="H75" s="10"/>
      <c r="I75" s="51">
        <v>385</v>
      </c>
      <c r="J75" s="3">
        <v>9</v>
      </c>
      <c r="K75" s="14">
        <f t="shared" si="3"/>
        <v>394</v>
      </c>
      <c r="L75" s="15">
        <f t="shared" si="4"/>
        <v>0</v>
      </c>
      <c r="M75" s="16">
        <f t="shared" si="5"/>
        <v>394</v>
      </c>
      <c r="N75" s="53">
        <v>385</v>
      </c>
      <c r="X75" s="53">
        <v>9</v>
      </c>
    </row>
    <row r="76" spans="1:26" s="3" customFormat="1" x14ac:dyDescent="0.25">
      <c r="A76" s="19">
        <v>130</v>
      </c>
      <c r="B76" s="31" t="s">
        <v>79</v>
      </c>
      <c r="C76" s="32" t="s">
        <v>78</v>
      </c>
      <c r="D76" s="33" t="s">
        <v>10</v>
      </c>
      <c r="E76" s="29" t="s">
        <v>13</v>
      </c>
      <c r="F76" s="30">
        <v>267</v>
      </c>
      <c r="G76" s="10">
        <v>258</v>
      </c>
      <c r="H76" s="10"/>
      <c r="I76" s="51">
        <v>267</v>
      </c>
      <c r="J76" s="3">
        <v>5</v>
      </c>
      <c r="K76" s="14">
        <f t="shared" si="3"/>
        <v>272</v>
      </c>
      <c r="L76" s="15">
        <f t="shared" si="4"/>
        <v>0</v>
      </c>
      <c r="M76" s="16">
        <f t="shared" si="5"/>
        <v>272</v>
      </c>
      <c r="N76" s="53">
        <v>267</v>
      </c>
      <c r="X76" s="53">
        <v>5</v>
      </c>
    </row>
    <row r="77" spans="1:26" s="3" customFormat="1" x14ac:dyDescent="0.25">
      <c r="A77" s="19">
        <v>131</v>
      </c>
      <c r="B77" s="31" t="s">
        <v>80</v>
      </c>
      <c r="C77" s="32" t="s">
        <v>75</v>
      </c>
      <c r="D77" s="33" t="s">
        <v>10</v>
      </c>
      <c r="E77" s="29" t="s">
        <v>13</v>
      </c>
      <c r="F77" s="30">
        <v>17</v>
      </c>
      <c r="G77" s="10">
        <v>15</v>
      </c>
      <c r="H77" s="10">
        <v>1</v>
      </c>
      <c r="I77" s="51">
        <v>16</v>
      </c>
      <c r="K77" s="14">
        <f t="shared" si="3"/>
        <v>16</v>
      </c>
      <c r="L77" s="15">
        <f t="shared" si="4"/>
        <v>0</v>
      </c>
      <c r="M77" s="16">
        <f t="shared" si="5"/>
        <v>16</v>
      </c>
      <c r="N77" s="53">
        <v>16</v>
      </c>
    </row>
    <row r="78" spans="1:26" s="3" customFormat="1" x14ac:dyDescent="0.25">
      <c r="A78" s="19">
        <v>132</v>
      </c>
      <c r="B78" s="31" t="s">
        <v>80</v>
      </c>
      <c r="C78" s="32" t="s">
        <v>76</v>
      </c>
      <c r="D78" s="33" t="s">
        <v>10</v>
      </c>
      <c r="E78" s="29" t="s">
        <v>13</v>
      </c>
      <c r="F78" s="30">
        <v>103</v>
      </c>
      <c r="G78" s="10">
        <v>103</v>
      </c>
      <c r="H78" s="10">
        <v>5</v>
      </c>
      <c r="I78" s="51">
        <v>98</v>
      </c>
      <c r="J78" s="3">
        <v>1</v>
      </c>
      <c r="K78" s="14">
        <f t="shared" si="3"/>
        <v>99</v>
      </c>
      <c r="L78" s="15">
        <f t="shared" si="4"/>
        <v>0</v>
      </c>
      <c r="M78" s="16">
        <f t="shared" si="5"/>
        <v>99</v>
      </c>
      <c r="N78" s="53">
        <v>98</v>
      </c>
      <c r="X78" s="53">
        <v>1</v>
      </c>
    </row>
    <row r="79" spans="1:26" s="3" customFormat="1" x14ac:dyDescent="0.25">
      <c r="A79" s="19">
        <v>133</v>
      </c>
      <c r="B79" s="31" t="s">
        <v>80</v>
      </c>
      <c r="C79" s="32" t="s">
        <v>78</v>
      </c>
      <c r="D79" s="33" t="s">
        <v>10</v>
      </c>
      <c r="E79" s="29" t="s">
        <v>13</v>
      </c>
      <c r="F79" s="30">
        <v>72</v>
      </c>
      <c r="G79" s="10">
        <v>72</v>
      </c>
      <c r="H79" s="10"/>
      <c r="I79" s="51">
        <v>72</v>
      </c>
      <c r="K79" s="14">
        <f t="shared" si="3"/>
        <v>72</v>
      </c>
      <c r="L79" s="15">
        <f t="shared" si="4"/>
        <v>0</v>
      </c>
      <c r="M79" s="16">
        <f t="shared" si="5"/>
        <v>72</v>
      </c>
      <c r="N79" s="53">
        <v>72</v>
      </c>
    </row>
    <row r="80" spans="1:26" s="3" customFormat="1" x14ac:dyDescent="0.25">
      <c r="A80" s="19">
        <v>134</v>
      </c>
      <c r="B80" s="31" t="s">
        <v>81</v>
      </c>
      <c r="C80" s="32" t="s">
        <v>82</v>
      </c>
      <c r="D80" s="33" t="s">
        <v>10</v>
      </c>
      <c r="E80" s="29" t="s">
        <v>14</v>
      </c>
      <c r="F80" s="30">
        <v>2</v>
      </c>
      <c r="G80" s="10">
        <v>2</v>
      </c>
      <c r="H80" s="10"/>
      <c r="I80" s="51">
        <v>2</v>
      </c>
      <c r="K80" s="14">
        <f t="shared" si="3"/>
        <v>2</v>
      </c>
      <c r="L80" s="15">
        <f t="shared" si="4"/>
        <v>0</v>
      </c>
      <c r="M80" s="16">
        <f t="shared" si="5"/>
        <v>2</v>
      </c>
      <c r="S80" s="53">
        <v>2</v>
      </c>
    </row>
    <row r="81" spans="1:34" s="3" customFormat="1" x14ac:dyDescent="0.25">
      <c r="A81" s="19">
        <v>135</v>
      </c>
      <c r="B81" s="31" t="s">
        <v>83</v>
      </c>
      <c r="C81" s="32" t="s">
        <v>84</v>
      </c>
      <c r="D81" s="33" t="s">
        <v>10</v>
      </c>
      <c r="E81" s="29" t="s">
        <v>14</v>
      </c>
      <c r="F81" s="30">
        <v>1</v>
      </c>
      <c r="G81" s="10">
        <v>1</v>
      </c>
      <c r="H81" s="10"/>
      <c r="I81" s="51">
        <v>1</v>
      </c>
      <c r="K81" s="14">
        <f t="shared" si="3"/>
        <v>1</v>
      </c>
      <c r="L81" s="15">
        <f t="shared" si="4"/>
        <v>0</v>
      </c>
      <c r="M81" s="16">
        <f t="shared" si="5"/>
        <v>1</v>
      </c>
      <c r="S81" s="53">
        <v>1</v>
      </c>
    </row>
    <row r="82" spans="1:34" s="3" customFormat="1" x14ac:dyDescent="0.25">
      <c r="A82" s="19">
        <v>136</v>
      </c>
      <c r="B82" s="31" t="s">
        <v>85</v>
      </c>
      <c r="C82" s="32" t="s">
        <v>86</v>
      </c>
      <c r="D82" s="33" t="s">
        <v>10</v>
      </c>
      <c r="E82" s="29" t="s">
        <v>14</v>
      </c>
      <c r="F82" s="30">
        <v>1</v>
      </c>
      <c r="G82" s="10">
        <v>1</v>
      </c>
      <c r="H82" s="10"/>
      <c r="I82" s="51">
        <v>1</v>
      </c>
      <c r="K82" s="14">
        <f t="shared" si="3"/>
        <v>1</v>
      </c>
      <c r="L82" s="15">
        <f t="shared" si="4"/>
        <v>0</v>
      </c>
      <c r="M82" s="16">
        <f t="shared" si="5"/>
        <v>1</v>
      </c>
      <c r="S82" s="53">
        <v>1</v>
      </c>
    </row>
    <row r="83" spans="1:34" s="3" customFormat="1" x14ac:dyDescent="0.25">
      <c r="A83" s="19">
        <v>137</v>
      </c>
      <c r="B83" s="31" t="s">
        <v>85</v>
      </c>
      <c r="C83" s="32" t="s">
        <v>87</v>
      </c>
      <c r="D83" s="33" t="s">
        <v>10</v>
      </c>
      <c r="E83" s="29" t="s">
        <v>14</v>
      </c>
      <c r="F83" s="30">
        <v>4</v>
      </c>
      <c r="G83" s="10">
        <v>4</v>
      </c>
      <c r="H83" s="10">
        <v>1</v>
      </c>
      <c r="I83" s="51">
        <v>3</v>
      </c>
      <c r="K83" s="14">
        <f t="shared" si="3"/>
        <v>3</v>
      </c>
      <c r="L83" s="15">
        <f t="shared" si="4"/>
        <v>0</v>
      </c>
      <c r="M83" s="16">
        <f t="shared" si="5"/>
        <v>3</v>
      </c>
      <c r="S83" s="53">
        <v>3</v>
      </c>
    </row>
    <row r="84" spans="1:34" s="3" customFormat="1" x14ac:dyDescent="0.25">
      <c r="A84" s="19">
        <v>138</v>
      </c>
      <c r="B84" s="31" t="s">
        <v>85</v>
      </c>
      <c r="C84" s="32" t="s">
        <v>88</v>
      </c>
      <c r="D84" s="33" t="s">
        <v>10</v>
      </c>
      <c r="E84" s="29" t="s">
        <v>14</v>
      </c>
      <c r="F84" s="30">
        <v>2</v>
      </c>
      <c r="G84" s="10">
        <v>2</v>
      </c>
      <c r="H84" s="10">
        <v>2</v>
      </c>
      <c r="I84" s="51">
        <v>0</v>
      </c>
      <c r="K84" s="14">
        <f t="shared" si="3"/>
        <v>0</v>
      </c>
      <c r="L84" s="15">
        <f t="shared" si="4"/>
        <v>0</v>
      </c>
      <c r="M84" s="16">
        <f t="shared" si="5"/>
        <v>0</v>
      </c>
    </row>
    <row r="85" spans="1:34" s="3" customFormat="1" x14ac:dyDescent="0.25">
      <c r="A85" s="19">
        <v>139</v>
      </c>
      <c r="B85" s="34" t="s">
        <v>85</v>
      </c>
      <c r="C85" s="32" t="s">
        <v>89</v>
      </c>
      <c r="D85" s="33"/>
      <c r="E85" s="29" t="s">
        <v>14</v>
      </c>
      <c r="F85" s="30">
        <v>5</v>
      </c>
      <c r="G85" s="10">
        <v>5</v>
      </c>
      <c r="H85" s="10">
        <v>1</v>
      </c>
      <c r="I85" s="51">
        <v>4</v>
      </c>
      <c r="K85" s="14">
        <f t="shared" si="3"/>
        <v>4</v>
      </c>
      <c r="L85" s="15">
        <f t="shared" si="4"/>
        <v>0</v>
      </c>
      <c r="M85" s="16">
        <f t="shared" si="5"/>
        <v>4</v>
      </c>
      <c r="S85" s="53">
        <v>4</v>
      </c>
    </row>
    <row r="86" spans="1:34" s="3" customFormat="1" x14ac:dyDescent="0.25">
      <c r="A86" s="19">
        <v>140</v>
      </c>
      <c r="B86" s="31" t="s">
        <v>90</v>
      </c>
      <c r="C86" s="32" t="s">
        <v>91</v>
      </c>
      <c r="D86" s="33" t="s">
        <v>10</v>
      </c>
      <c r="E86" s="29" t="s">
        <v>14</v>
      </c>
      <c r="F86" s="30">
        <v>2</v>
      </c>
      <c r="G86" s="10">
        <v>2</v>
      </c>
      <c r="H86" s="10"/>
      <c r="I86" s="51">
        <v>2</v>
      </c>
      <c r="K86" s="14">
        <f t="shared" si="3"/>
        <v>2</v>
      </c>
      <c r="L86" s="15">
        <f t="shared" si="4"/>
        <v>0</v>
      </c>
      <c r="M86" s="16">
        <f t="shared" si="5"/>
        <v>2</v>
      </c>
      <c r="S86" s="53">
        <v>2</v>
      </c>
    </row>
    <row r="87" spans="1:34" s="3" customFormat="1" x14ac:dyDescent="0.25">
      <c r="A87" s="19">
        <v>141</v>
      </c>
      <c r="B87" s="31" t="s">
        <v>90</v>
      </c>
      <c r="C87" s="32" t="s">
        <v>86</v>
      </c>
      <c r="D87" s="33" t="s">
        <v>10</v>
      </c>
      <c r="E87" s="29" t="s">
        <v>14</v>
      </c>
      <c r="F87" s="30">
        <v>2</v>
      </c>
      <c r="G87" s="10">
        <v>2</v>
      </c>
      <c r="H87" s="10"/>
      <c r="I87" s="51">
        <v>2</v>
      </c>
      <c r="K87" s="14">
        <f t="shared" si="3"/>
        <v>2</v>
      </c>
      <c r="L87" s="15">
        <f t="shared" si="4"/>
        <v>0</v>
      </c>
      <c r="M87" s="16">
        <f t="shared" si="5"/>
        <v>2</v>
      </c>
      <c r="S87" s="53">
        <v>2</v>
      </c>
    </row>
    <row r="88" spans="1:34" s="3" customFormat="1" x14ac:dyDescent="0.25">
      <c r="A88" s="19">
        <v>142</v>
      </c>
      <c r="B88" s="31" t="s">
        <v>92</v>
      </c>
      <c r="C88" s="32" t="s">
        <v>93</v>
      </c>
      <c r="D88" s="33" t="s">
        <v>10</v>
      </c>
      <c r="E88" s="29" t="s">
        <v>14</v>
      </c>
      <c r="F88" s="30">
        <v>1</v>
      </c>
      <c r="G88" s="10">
        <v>2</v>
      </c>
      <c r="H88" s="10"/>
      <c r="I88" s="51">
        <v>2</v>
      </c>
      <c r="K88" s="14">
        <f t="shared" si="3"/>
        <v>2</v>
      </c>
      <c r="L88" s="15">
        <f t="shared" si="4"/>
        <v>0</v>
      </c>
      <c r="M88" s="16">
        <f t="shared" si="5"/>
        <v>2</v>
      </c>
      <c r="S88" s="53">
        <v>2</v>
      </c>
    </row>
    <row r="89" spans="1:34" s="3" customFormat="1" x14ac:dyDescent="0.25">
      <c r="A89" s="19">
        <v>143</v>
      </c>
      <c r="B89" s="31" t="s">
        <v>92</v>
      </c>
      <c r="C89" s="32" t="s">
        <v>94</v>
      </c>
      <c r="D89" s="33" t="s">
        <v>10</v>
      </c>
      <c r="E89" s="29" t="s">
        <v>14</v>
      </c>
      <c r="F89" s="30">
        <v>1</v>
      </c>
      <c r="G89" s="10">
        <v>1</v>
      </c>
      <c r="H89" s="10"/>
      <c r="I89" s="51">
        <v>1</v>
      </c>
      <c r="K89" s="14">
        <f t="shared" si="3"/>
        <v>1</v>
      </c>
      <c r="L89" s="15">
        <f t="shared" si="4"/>
        <v>0</v>
      </c>
      <c r="M89" s="16">
        <f t="shared" si="5"/>
        <v>1</v>
      </c>
      <c r="S89" s="53">
        <v>1</v>
      </c>
    </row>
    <row r="90" spans="1:34" s="3" customFormat="1" x14ac:dyDescent="0.25">
      <c r="A90" s="19">
        <v>144</v>
      </c>
      <c r="B90" s="31" t="s">
        <v>95</v>
      </c>
      <c r="C90" s="32" t="s">
        <v>91</v>
      </c>
      <c r="D90" s="33" t="s">
        <v>10</v>
      </c>
      <c r="E90" s="29" t="s">
        <v>13</v>
      </c>
      <c r="F90" s="30">
        <v>10</v>
      </c>
      <c r="G90" s="10">
        <v>10</v>
      </c>
      <c r="H90" s="10"/>
      <c r="I90" s="51">
        <v>10</v>
      </c>
      <c r="K90" s="14">
        <f t="shared" si="3"/>
        <v>10</v>
      </c>
      <c r="L90" s="15">
        <f t="shared" si="4"/>
        <v>0</v>
      </c>
      <c r="M90" s="16">
        <f t="shared" si="5"/>
        <v>10</v>
      </c>
      <c r="S90" s="53">
        <v>10</v>
      </c>
    </row>
    <row r="91" spans="1:34" s="3" customFormat="1" x14ac:dyDescent="0.25">
      <c r="A91" s="19">
        <v>145</v>
      </c>
      <c r="B91" s="31" t="s">
        <v>95</v>
      </c>
      <c r="C91" s="32" t="s">
        <v>86</v>
      </c>
      <c r="D91" s="33" t="s">
        <v>10</v>
      </c>
      <c r="E91" s="29" t="s">
        <v>13</v>
      </c>
      <c r="F91" s="30">
        <v>3</v>
      </c>
      <c r="G91" s="10">
        <v>3</v>
      </c>
      <c r="H91" s="10"/>
      <c r="I91" s="51">
        <v>3</v>
      </c>
      <c r="K91" s="14">
        <f t="shared" si="3"/>
        <v>3</v>
      </c>
      <c r="L91" s="15">
        <f t="shared" si="4"/>
        <v>0</v>
      </c>
      <c r="M91" s="16">
        <f t="shared" si="5"/>
        <v>3</v>
      </c>
      <c r="S91" s="53">
        <v>3</v>
      </c>
    </row>
    <row r="92" spans="1:34" s="3" customFormat="1" x14ac:dyDescent="0.25">
      <c r="A92" s="19">
        <v>146</v>
      </c>
      <c r="B92" s="31" t="s">
        <v>95</v>
      </c>
      <c r="C92" s="32" t="s">
        <v>87</v>
      </c>
      <c r="D92" s="33" t="s">
        <v>10</v>
      </c>
      <c r="E92" s="29" t="s">
        <v>13</v>
      </c>
      <c r="F92" s="30">
        <v>4</v>
      </c>
      <c r="G92" s="10">
        <v>4</v>
      </c>
      <c r="H92" s="10"/>
      <c r="I92" s="51">
        <v>4</v>
      </c>
      <c r="K92" s="14">
        <f t="shared" si="3"/>
        <v>4</v>
      </c>
      <c r="L92" s="15">
        <f t="shared" si="4"/>
        <v>0</v>
      </c>
      <c r="M92" s="16">
        <f t="shared" si="5"/>
        <v>4</v>
      </c>
      <c r="S92" s="53">
        <v>4</v>
      </c>
    </row>
    <row r="93" spans="1:34" s="3" customFormat="1" x14ac:dyDescent="0.25">
      <c r="A93" s="19">
        <v>147</v>
      </c>
      <c r="B93" s="31" t="s">
        <v>95</v>
      </c>
      <c r="C93" s="32" t="s">
        <v>89</v>
      </c>
      <c r="D93" s="33" t="s">
        <v>10</v>
      </c>
      <c r="E93" s="29" t="s">
        <v>13</v>
      </c>
      <c r="F93" s="30">
        <v>2</v>
      </c>
      <c r="G93" s="10">
        <v>2</v>
      </c>
      <c r="H93" s="10"/>
      <c r="I93" s="51">
        <v>2</v>
      </c>
      <c r="K93" s="14">
        <f t="shared" si="3"/>
        <v>2</v>
      </c>
      <c r="L93" s="15">
        <f t="shared" si="4"/>
        <v>0</v>
      </c>
      <c r="M93" s="16">
        <f t="shared" si="5"/>
        <v>2</v>
      </c>
      <c r="S93" s="53">
        <v>2</v>
      </c>
    </row>
    <row r="94" spans="1:34" s="3" customFormat="1" x14ac:dyDescent="0.25">
      <c r="A94" s="19">
        <v>148</v>
      </c>
      <c r="B94" s="31" t="s">
        <v>95</v>
      </c>
      <c r="C94" s="32" t="s">
        <v>96</v>
      </c>
      <c r="D94" s="33" t="s">
        <v>10</v>
      </c>
      <c r="E94" s="29" t="s">
        <v>13</v>
      </c>
      <c r="F94" s="30">
        <v>2</v>
      </c>
      <c r="G94" s="10">
        <v>2</v>
      </c>
      <c r="H94" s="10"/>
      <c r="I94" s="51">
        <v>2</v>
      </c>
      <c r="K94" s="14">
        <f t="shared" si="3"/>
        <v>2</v>
      </c>
      <c r="L94" s="15">
        <f t="shared" si="4"/>
        <v>0</v>
      </c>
      <c r="M94" s="16">
        <f t="shared" si="5"/>
        <v>2</v>
      </c>
      <c r="S94" s="53">
        <v>2</v>
      </c>
    </row>
    <row r="95" spans="1:34" s="3" customFormat="1" x14ac:dyDescent="0.25">
      <c r="A95" s="19">
        <v>149</v>
      </c>
      <c r="B95" s="31" t="s">
        <v>95</v>
      </c>
      <c r="C95" s="32" t="s">
        <v>97</v>
      </c>
      <c r="D95" s="33" t="s">
        <v>10</v>
      </c>
      <c r="E95" s="29" t="s">
        <v>13</v>
      </c>
      <c r="F95" s="30">
        <v>2</v>
      </c>
      <c r="G95" s="10">
        <v>2</v>
      </c>
      <c r="H95" s="10"/>
      <c r="I95" s="51">
        <v>2</v>
      </c>
      <c r="K95" s="14">
        <f t="shared" si="3"/>
        <v>2</v>
      </c>
      <c r="L95" s="15">
        <f t="shared" si="4"/>
        <v>0</v>
      </c>
      <c r="M95" s="16">
        <f t="shared" si="5"/>
        <v>2</v>
      </c>
      <c r="S95" s="53">
        <v>2</v>
      </c>
    </row>
    <row r="96" spans="1:34" s="3" customFormat="1" x14ac:dyDescent="0.25">
      <c r="A96" s="19">
        <v>150</v>
      </c>
      <c r="B96" s="31" t="s">
        <v>98</v>
      </c>
      <c r="C96" s="32" t="s">
        <v>93</v>
      </c>
      <c r="D96" s="33" t="s">
        <v>10</v>
      </c>
      <c r="E96" s="29" t="s">
        <v>13</v>
      </c>
      <c r="F96" s="30">
        <v>29</v>
      </c>
      <c r="G96" s="10">
        <v>29</v>
      </c>
      <c r="H96" s="10"/>
      <c r="I96" s="51">
        <v>29</v>
      </c>
      <c r="J96" s="3">
        <v>1</v>
      </c>
      <c r="K96" s="14">
        <f t="shared" si="3"/>
        <v>30</v>
      </c>
      <c r="L96" s="15">
        <f t="shared" si="4"/>
        <v>0</v>
      </c>
      <c r="M96" s="16">
        <f t="shared" si="5"/>
        <v>30</v>
      </c>
      <c r="S96" s="53">
        <v>29</v>
      </c>
      <c r="AH96" s="54">
        <v>1</v>
      </c>
    </row>
    <row r="97" spans="1:33" s="3" customFormat="1" x14ac:dyDescent="0.25">
      <c r="A97" s="19">
        <v>151</v>
      </c>
      <c r="B97" s="31" t="s">
        <v>98</v>
      </c>
      <c r="C97" s="32" t="s">
        <v>99</v>
      </c>
      <c r="D97" s="33" t="s">
        <v>10</v>
      </c>
      <c r="E97" s="29" t="s">
        <v>13</v>
      </c>
      <c r="F97" s="30">
        <v>3</v>
      </c>
      <c r="G97" s="10">
        <v>3</v>
      </c>
      <c r="H97" s="10"/>
      <c r="I97" s="51">
        <v>3</v>
      </c>
      <c r="K97" s="14">
        <f t="shared" si="3"/>
        <v>3</v>
      </c>
      <c r="L97" s="15">
        <f t="shared" si="4"/>
        <v>0</v>
      </c>
      <c r="M97" s="16">
        <f t="shared" si="5"/>
        <v>3</v>
      </c>
      <c r="S97" s="53">
        <v>3</v>
      </c>
    </row>
    <row r="98" spans="1:33" s="3" customFormat="1" x14ac:dyDescent="0.25">
      <c r="A98" s="19">
        <v>152</v>
      </c>
      <c r="B98" s="31" t="s">
        <v>100</v>
      </c>
      <c r="C98" s="32" t="s">
        <v>101</v>
      </c>
      <c r="D98" s="33" t="s">
        <v>10</v>
      </c>
      <c r="E98" s="29" t="s">
        <v>385</v>
      </c>
      <c r="F98" s="30">
        <v>1</v>
      </c>
      <c r="G98" s="10">
        <v>1</v>
      </c>
      <c r="H98" s="10"/>
      <c r="I98" s="51">
        <v>1</v>
      </c>
      <c r="K98" s="14">
        <f t="shared" si="3"/>
        <v>1</v>
      </c>
      <c r="L98" s="15">
        <f t="shared" si="4"/>
        <v>0</v>
      </c>
      <c r="M98" s="16">
        <f t="shared" si="5"/>
        <v>1</v>
      </c>
      <c r="S98" s="53">
        <v>1</v>
      </c>
    </row>
    <row r="99" spans="1:33" s="3" customFormat="1" x14ac:dyDescent="0.25">
      <c r="A99" s="19">
        <v>153</v>
      </c>
      <c r="B99" s="31" t="s">
        <v>102</v>
      </c>
      <c r="C99" s="32" t="s">
        <v>99</v>
      </c>
      <c r="D99" s="33" t="s">
        <v>10</v>
      </c>
      <c r="E99" s="29" t="s">
        <v>14</v>
      </c>
      <c r="F99" s="30">
        <v>6</v>
      </c>
      <c r="G99" s="10">
        <v>6</v>
      </c>
      <c r="H99" s="10"/>
      <c r="I99" s="51">
        <v>6</v>
      </c>
      <c r="K99" s="14">
        <f t="shared" si="3"/>
        <v>6</v>
      </c>
      <c r="L99" s="15">
        <f t="shared" si="4"/>
        <v>0</v>
      </c>
      <c r="M99" s="16">
        <f t="shared" si="5"/>
        <v>6</v>
      </c>
      <c r="N99" s="53">
        <v>6</v>
      </c>
    </row>
    <row r="100" spans="1:33" s="3" customFormat="1" x14ac:dyDescent="0.25">
      <c r="A100" s="19">
        <v>154</v>
      </c>
      <c r="B100" s="31" t="s">
        <v>102</v>
      </c>
      <c r="C100" s="32" t="s">
        <v>91</v>
      </c>
      <c r="D100" s="33" t="s">
        <v>10</v>
      </c>
      <c r="E100" s="29" t="s">
        <v>14</v>
      </c>
      <c r="F100" s="30">
        <v>23</v>
      </c>
      <c r="G100" s="10">
        <v>22</v>
      </c>
      <c r="H100" s="10"/>
      <c r="I100" s="51">
        <v>23</v>
      </c>
      <c r="K100" s="14">
        <f t="shared" si="3"/>
        <v>23</v>
      </c>
      <c r="L100" s="15">
        <f t="shared" si="4"/>
        <v>0</v>
      </c>
      <c r="M100" s="16">
        <f t="shared" si="5"/>
        <v>23</v>
      </c>
      <c r="N100" s="53">
        <v>1</v>
      </c>
      <c r="AA100" s="53">
        <v>22</v>
      </c>
    </row>
    <row r="101" spans="1:33" s="3" customFormat="1" x14ac:dyDescent="0.25">
      <c r="A101" s="19">
        <v>155</v>
      </c>
      <c r="B101" s="31" t="s">
        <v>102</v>
      </c>
      <c r="C101" s="32" t="s">
        <v>86</v>
      </c>
      <c r="D101" s="33" t="s">
        <v>10</v>
      </c>
      <c r="E101" s="29" t="s">
        <v>14</v>
      </c>
      <c r="F101" s="30">
        <v>6</v>
      </c>
      <c r="G101" s="10">
        <v>6</v>
      </c>
      <c r="H101" s="10"/>
      <c r="I101" s="51">
        <v>6</v>
      </c>
      <c r="K101" s="14">
        <f t="shared" si="3"/>
        <v>6</v>
      </c>
      <c r="L101" s="15">
        <f t="shared" si="4"/>
        <v>0</v>
      </c>
      <c r="M101" s="16">
        <f t="shared" si="5"/>
        <v>6</v>
      </c>
      <c r="R101" s="53">
        <v>6</v>
      </c>
    </row>
    <row r="102" spans="1:33" s="3" customFormat="1" x14ac:dyDescent="0.25">
      <c r="A102" s="19">
        <v>156</v>
      </c>
      <c r="B102" s="31" t="s">
        <v>103</v>
      </c>
      <c r="C102" s="32" t="s">
        <v>93</v>
      </c>
      <c r="D102" s="33" t="s">
        <v>10</v>
      </c>
      <c r="E102" s="29" t="s">
        <v>14</v>
      </c>
      <c r="F102" s="30">
        <v>63</v>
      </c>
      <c r="G102" s="10">
        <v>60</v>
      </c>
      <c r="H102" s="10"/>
      <c r="I102" s="51">
        <v>63</v>
      </c>
      <c r="K102" s="14">
        <f t="shared" si="3"/>
        <v>63</v>
      </c>
      <c r="L102" s="15">
        <f t="shared" si="4"/>
        <v>0</v>
      </c>
      <c r="M102" s="16">
        <f t="shared" si="5"/>
        <v>63</v>
      </c>
      <c r="N102" s="53">
        <v>17</v>
      </c>
      <c r="AA102" s="53">
        <v>46</v>
      </c>
    </row>
    <row r="103" spans="1:33" s="3" customFormat="1" x14ac:dyDescent="0.25">
      <c r="A103" s="19">
        <v>157</v>
      </c>
      <c r="B103" s="31" t="s">
        <v>103</v>
      </c>
      <c r="C103" s="32" t="s">
        <v>94</v>
      </c>
      <c r="D103" s="33" t="s">
        <v>10</v>
      </c>
      <c r="E103" s="29" t="s">
        <v>14</v>
      </c>
      <c r="F103" s="30">
        <v>20</v>
      </c>
      <c r="G103" s="10">
        <v>19</v>
      </c>
      <c r="H103" s="10"/>
      <c r="I103" s="51">
        <v>20</v>
      </c>
      <c r="K103" s="14">
        <f t="shared" si="3"/>
        <v>20</v>
      </c>
      <c r="L103" s="15">
        <f t="shared" si="4"/>
        <v>0</v>
      </c>
      <c r="M103" s="16">
        <f t="shared" si="5"/>
        <v>20</v>
      </c>
      <c r="N103" s="53">
        <v>20</v>
      </c>
    </row>
    <row r="104" spans="1:33" s="3" customFormat="1" x14ac:dyDescent="0.25">
      <c r="A104" s="19">
        <v>158</v>
      </c>
      <c r="B104" s="31" t="s">
        <v>103</v>
      </c>
      <c r="C104" s="32" t="s">
        <v>99</v>
      </c>
      <c r="D104" s="33" t="s">
        <v>10</v>
      </c>
      <c r="E104" s="29" t="s">
        <v>14</v>
      </c>
      <c r="F104" s="30">
        <v>5</v>
      </c>
      <c r="G104" s="10">
        <v>5</v>
      </c>
      <c r="H104" s="10">
        <v>5</v>
      </c>
      <c r="I104" s="51">
        <v>0</v>
      </c>
      <c r="K104" s="14">
        <f t="shared" si="3"/>
        <v>0</v>
      </c>
      <c r="L104" s="15">
        <f t="shared" si="4"/>
        <v>0</v>
      </c>
      <c r="M104" s="16">
        <f t="shared" si="5"/>
        <v>0</v>
      </c>
    </row>
    <row r="105" spans="1:33" s="3" customFormat="1" x14ac:dyDescent="0.25">
      <c r="A105" s="19">
        <v>159</v>
      </c>
      <c r="B105" s="31" t="s">
        <v>103</v>
      </c>
      <c r="C105" s="32" t="s">
        <v>91</v>
      </c>
      <c r="D105" s="33" t="s">
        <v>10</v>
      </c>
      <c r="E105" s="29" t="s">
        <v>14</v>
      </c>
      <c r="F105" s="30">
        <v>28</v>
      </c>
      <c r="G105" s="10">
        <v>24</v>
      </c>
      <c r="H105" s="10">
        <v>28</v>
      </c>
      <c r="I105" s="51">
        <v>0</v>
      </c>
      <c r="K105" s="14">
        <f t="shared" si="3"/>
        <v>0</v>
      </c>
      <c r="L105" s="15">
        <f t="shared" si="4"/>
        <v>0</v>
      </c>
      <c r="M105" s="16">
        <f t="shared" si="5"/>
        <v>0</v>
      </c>
    </row>
    <row r="106" spans="1:33" s="3" customFormat="1" x14ac:dyDescent="0.25">
      <c r="A106" s="19">
        <v>160</v>
      </c>
      <c r="B106" s="31" t="s">
        <v>103</v>
      </c>
      <c r="C106" s="32" t="s">
        <v>86</v>
      </c>
      <c r="D106" s="33" t="s">
        <v>10</v>
      </c>
      <c r="E106" s="29" t="s">
        <v>14</v>
      </c>
      <c r="F106" s="30">
        <v>14</v>
      </c>
      <c r="G106" s="10">
        <v>14</v>
      </c>
      <c r="H106" s="10">
        <v>7</v>
      </c>
      <c r="I106" s="51">
        <v>7</v>
      </c>
      <c r="K106" s="14">
        <f t="shared" si="3"/>
        <v>7</v>
      </c>
      <c r="L106" s="15">
        <f t="shared" si="4"/>
        <v>0</v>
      </c>
      <c r="M106" s="16">
        <f t="shared" si="5"/>
        <v>7</v>
      </c>
      <c r="N106" s="53">
        <v>7</v>
      </c>
    </row>
    <row r="107" spans="1:33" s="3" customFormat="1" x14ac:dyDescent="0.25">
      <c r="A107" s="19">
        <v>161</v>
      </c>
      <c r="B107" s="31" t="s">
        <v>103</v>
      </c>
      <c r="C107" s="32" t="s">
        <v>87</v>
      </c>
      <c r="D107" s="33" t="s">
        <v>10</v>
      </c>
      <c r="E107" s="29" t="s">
        <v>14</v>
      </c>
      <c r="F107" s="30">
        <v>9</v>
      </c>
      <c r="G107" s="10">
        <v>9</v>
      </c>
      <c r="H107" s="10">
        <v>4</v>
      </c>
      <c r="I107" s="51">
        <v>5</v>
      </c>
      <c r="J107" s="3">
        <v>1</v>
      </c>
      <c r="K107" s="14">
        <f t="shared" si="3"/>
        <v>6</v>
      </c>
      <c r="L107" s="15">
        <f t="shared" si="4"/>
        <v>0</v>
      </c>
      <c r="M107" s="16">
        <f t="shared" si="5"/>
        <v>6</v>
      </c>
      <c r="N107" s="53">
        <v>3</v>
      </c>
      <c r="R107" s="53">
        <v>2</v>
      </c>
      <c r="AG107" s="53">
        <v>1</v>
      </c>
    </row>
    <row r="108" spans="1:33" s="3" customFormat="1" x14ac:dyDescent="0.25">
      <c r="A108" s="19">
        <v>162</v>
      </c>
      <c r="B108" s="31" t="s">
        <v>103</v>
      </c>
      <c r="C108" s="32" t="s">
        <v>88</v>
      </c>
      <c r="D108" s="33" t="s">
        <v>10</v>
      </c>
      <c r="E108" s="29" t="s">
        <v>14</v>
      </c>
      <c r="F108" s="30">
        <v>3</v>
      </c>
      <c r="G108" s="10">
        <v>3</v>
      </c>
      <c r="H108" s="10"/>
      <c r="I108" s="51">
        <v>3</v>
      </c>
      <c r="K108" s="14">
        <f t="shared" si="3"/>
        <v>3</v>
      </c>
      <c r="L108" s="15">
        <f t="shared" si="4"/>
        <v>0</v>
      </c>
      <c r="M108" s="16">
        <f t="shared" si="5"/>
        <v>3</v>
      </c>
      <c r="N108" s="53">
        <v>3</v>
      </c>
    </row>
    <row r="109" spans="1:33" s="3" customFormat="1" x14ac:dyDescent="0.25">
      <c r="A109" s="19">
        <v>163</v>
      </c>
      <c r="B109" s="31" t="s">
        <v>103</v>
      </c>
      <c r="C109" s="32" t="s">
        <v>89</v>
      </c>
      <c r="D109" s="33" t="s">
        <v>10</v>
      </c>
      <c r="E109" s="29" t="s">
        <v>14</v>
      </c>
      <c r="F109" s="30">
        <v>2</v>
      </c>
      <c r="G109" s="10">
        <v>2</v>
      </c>
      <c r="H109" s="10" t="s">
        <v>381</v>
      </c>
      <c r="I109" s="51">
        <v>0</v>
      </c>
      <c r="K109" s="14">
        <f t="shared" si="3"/>
        <v>0</v>
      </c>
      <c r="L109" s="15">
        <f t="shared" si="4"/>
        <v>0</v>
      </c>
      <c r="M109" s="16">
        <f t="shared" si="5"/>
        <v>0</v>
      </c>
    </row>
    <row r="110" spans="1:33" s="3" customFormat="1" x14ac:dyDescent="0.25">
      <c r="A110" s="19">
        <v>164</v>
      </c>
      <c r="B110" s="31" t="s">
        <v>104</v>
      </c>
      <c r="C110" s="32" t="s">
        <v>105</v>
      </c>
      <c r="D110" s="33" t="s">
        <v>10</v>
      </c>
      <c r="E110" s="29" t="s">
        <v>385</v>
      </c>
      <c r="F110" s="30">
        <v>6</v>
      </c>
      <c r="G110" s="10">
        <v>6</v>
      </c>
      <c r="H110" s="10"/>
      <c r="I110" s="51">
        <v>6</v>
      </c>
      <c r="K110" s="14">
        <f t="shared" si="3"/>
        <v>6</v>
      </c>
      <c r="L110" s="15">
        <f t="shared" si="4"/>
        <v>0</v>
      </c>
      <c r="M110" s="16">
        <f t="shared" si="5"/>
        <v>6</v>
      </c>
      <c r="AA110" s="53">
        <v>6</v>
      </c>
    </row>
    <row r="111" spans="1:33" s="3" customFormat="1" x14ac:dyDescent="0.25">
      <c r="A111" s="19">
        <v>165</v>
      </c>
      <c r="B111" s="31" t="s">
        <v>104</v>
      </c>
      <c r="C111" s="32" t="s">
        <v>106</v>
      </c>
      <c r="D111" s="33" t="s">
        <v>10</v>
      </c>
      <c r="E111" s="29" t="s">
        <v>385</v>
      </c>
      <c r="F111" s="30">
        <v>3</v>
      </c>
      <c r="G111" s="10">
        <v>3</v>
      </c>
      <c r="H111" s="10"/>
      <c r="I111" s="51">
        <v>3</v>
      </c>
      <c r="K111" s="14">
        <f t="shared" si="3"/>
        <v>3</v>
      </c>
      <c r="L111" s="15">
        <f t="shared" si="4"/>
        <v>0</v>
      </c>
      <c r="M111" s="16">
        <f t="shared" si="5"/>
        <v>3</v>
      </c>
      <c r="AD111" s="53">
        <v>3</v>
      </c>
    </row>
    <row r="112" spans="1:33" s="3" customFormat="1" x14ac:dyDescent="0.25">
      <c r="A112" s="19">
        <v>166</v>
      </c>
      <c r="B112" s="31" t="s">
        <v>104</v>
      </c>
      <c r="C112" s="32" t="s">
        <v>107</v>
      </c>
      <c r="D112" s="33" t="s">
        <v>10</v>
      </c>
      <c r="E112" s="29" t="s">
        <v>385</v>
      </c>
      <c r="F112" s="30">
        <v>2</v>
      </c>
      <c r="G112" s="10">
        <v>2</v>
      </c>
      <c r="H112" s="10"/>
      <c r="I112" s="51">
        <v>2</v>
      </c>
      <c r="K112" s="14">
        <f t="shared" si="3"/>
        <v>2</v>
      </c>
      <c r="L112" s="15">
        <f t="shared" si="4"/>
        <v>0</v>
      </c>
      <c r="M112" s="16">
        <f t="shared" si="5"/>
        <v>2</v>
      </c>
      <c r="AD112" s="53">
        <v>2</v>
      </c>
    </row>
    <row r="113" spans="1:34" s="3" customFormat="1" x14ac:dyDescent="0.25">
      <c r="A113" s="19">
        <v>167</v>
      </c>
      <c r="B113" s="31" t="s">
        <v>104</v>
      </c>
      <c r="C113" s="32" t="s">
        <v>108</v>
      </c>
      <c r="D113" s="33" t="s">
        <v>10</v>
      </c>
      <c r="E113" s="29" t="s">
        <v>385</v>
      </c>
      <c r="F113" s="30">
        <v>2</v>
      </c>
      <c r="G113" s="10">
        <v>2</v>
      </c>
      <c r="H113" s="10"/>
      <c r="I113" s="51">
        <v>2</v>
      </c>
      <c r="K113" s="14">
        <f t="shared" si="3"/>
        <v>2</v>
      </c>
      <c r="L113" s="15">
        <f t="shared" si="4"/>
        <v>0</v>
      </c>
      <c r="M113" s="16">
        <f t="shared" si="5"/>
        <v>2</v>
      </c>
      <c r="AD113" s="53">
        <v>2</v>
      </c>
    </row>
    <row r="114" spans="1:34" s="3" customFormat="1" x14ac:dyDescent="0.25">
      <c r="A114" s="19">
        <v>168</v>
      </c>
      <c r="B114" s="31" t="s">
        <v>104</v>
      </c>
      <c r="C114" s="32" t="s">
        <v>87</v>
      </c>
      <c r="D114" s="33" t="s">
        <v>10</v>
      </c>
      <c r="E114" s="29" t="s">
        <v>384</v>
      </c>
      <c r="F114" s="30">
        <v>15</v>
      </c>
      <c r="G114" s="10">
        <v>15</v>
      </c>
      <c r="H114" s="10"/>
      <c r="I114" s="51">
        <v>15</v>
      </c>
      <c r="J114" s="3">
        <v>2</v>
      </c>
      <c r="K114" s="14">
        <f t="shared" si="3"/>
        <v>17</v>
      </c>
      <c r="L114" s="15">
        <f t="shared" si="4"/>
        <v>0</v>
      </c>
      <c r="M114" s="16">
        <f t="shared" si="5"/>
        <v>17</v>
      </c>
      <c r="N114" s="53">
        <v>10</v>
      </c>
      <c r="AG114" s="53">
        <v>2</v>
      </c>
      <c r="AH114" s="53">
        <v>5</v>
      </c>
    </row>
    <row r="115" spans="1:34" s="3" customFormat="1" x14ac:dyDescent="0.25">
      <c r="A115" s="19">
        <v>169</v>
      </c>
      <c r="B115" s="31" t="s">
        <v>104</v>
      </c>
      <c r="C115" s="32" t="s">
        <v>88</v>
      </c>
      <c r="D115" s="33" t="s">
        <v>10</v>
      </c>
      <c r="E115" s="29" t="s">
        <v>384</v>
      </c>
      <c r="F115" s="30">
        <v>8</v>
      </c>
      <c r="G115" s="10">
        <v>8</v>
      </c>
      <c r="H115" s="10">
        <v>1</v>
      </c>
      <c r="I115" s="51">
        <v>7</v>
      </c>
      <c r="K115" s="14">
        <f t="shared" si="3"/>
        <v>7</v>
      </c>
      <c r="L115" s="15">
        <f t="shared" si="4"/>
        <v>0</v>
      </c>
      <c r="M115" s="16">
        <f t="shared" si="5"/>
        <v>7</v>
      </c>
      <c r="R115" s="53">
        <v>7</v>
      </c>
    </row>
    <row r="116" spans="1:34" s="3" customFormat="1" x14ac:dyDescent="0.25">
      <c r="A116" s="19">
        <v>170</v>
      </c>
      <c r="B116" s="31" t="s">
        <v>104</v>
      </c>
      <c r="C116" s="32" t="s">
        <v>89</v>
      </c>
      <c r="D116" s="33" t="s">
        <v>10</v>
      </c>
      <c r="E116" s="29" t="s">
        <v>384</v>
      </c>
      <c r="F116" s="30">
        <v>15</v>
      </c>
      <c r="G116" s="10">
        <v>15</v>
      </c>
      <c r="H116" s="10">
        <v>1</v>
      </c>
      <c r="I116" s="51">
        <v>14</v>
      </c>
      <c r="K116" s="14">
        <f t="shared" si="3"/>
        <v>14</v>
      </c>
      <c r="L116" s="15">
        <f t="shared" si="4"/>
        <v>0</v>
      </c>
      <c r="M116" s="16">
        <f t="shared" si="5"/>
        <v>14</v>
      </c>
      <c r="R116" s="53">
        <v>14</v>
      </c>
    </row>
    <row r="117" spans="1:34" s="3" customFormat="1" x14ac:dyDescent="0.25">
      <c r="A117" s="19">
        <v>171</v>
      </c>
      <c r="B117" s="31" t="s">
        <v>104</v>
      </c>
      <c r="C117" s="32" t="s">
        <v>96</v>
      </c>
      <c r="D117" s="33" t="s">
        <v>10</v>
      </c>
      <c r="E117" s="29" t="s">
        <v>384</v>
      </c>
      <c r="F117" s="30">
        <v>13</v>
      </c>
      <c r="G117" s="10">
        <v>12</v>
      </c>
      <c r="H117" s="10">
        <v>1</v>
      </c>
      <c r="I117" s="51">
        <v>12</v>
      </c>
      <c r="J117" s="3">
        <v>1</v>
      </c>
      <c r="K117" s="14">
        <f t="shared" si="3"/>
        <v>13</v>
      </c>
      <c r="L117" s="15">
        <f t="shared" si="4"/>
        <v>0</v>
      </c>
      <c r="M117" s="16">
        <f t="shared" si="5"/>
        <v>13</v>
      </c>
      <c r="N117" s="53">
        <v>1</v>
      </c>
      <c r="AG117" s="53">
        <v>1</v>
      </c>
      <c r="AH117" s="53">
        <v>11</v>
      </c>
    </row>
    <row r="118" spans="1:34" s="3" customFormat="1" x14ac:dyDescent="0.25">
      <c r="A118" s="19">
        <v>172</v>
      </c>
      <c r="B118" s="31" t="s">
        <v>104</v>
      </c>
      <c r="C118" s="32" t="s">
        <v>97</v>
      </c>
      <c r="D118" s="33" t="s">
        <v>10</v>
      </c>
      <c r="E118" s="29" t="s">
        <v>384</v>
      </c>
      <c r="F118" s="30">
        <v>14</v>
      </c>
      <c r="G118" s="10">
        <v>14</v>
      </c>
      <c r="H118" s="10"/>
      <c r="I118" s="51">
        <v>14</v>
      </c>
      <c r="K118" s="14">
        <f t="shared" si="3"/>
        <v>14</v>
      </c>
      <c r="L118" s="15">
        <f t="shared" si="4"/>
        <v>0</v>
      </c>
      <c r="M118" s="16">
        <f t="shared" si="5"/>
        <v>14</v>
      </c>
      <c r="N118" s="53">
        <v>4</v>
      </c>
      <c r="AH118" s="53">
        <v>10</v>
      </c>
    </row>
    <row r="119" spans="1:34" s="3" customFormat="1" x14ac:dyDescent="0.25">
      <c r="A119" s="19">
        <v>173</v>
      </c>
      <c r="B119" s="31" t="s">
        <v>109</v>
      </c>
      <c r="C119" s="32" t="s">
        <v>93</v>
      </c>
      <c r="D119" s="33" t="s">
        <v>10</v>
      </c>
      <c r="E119" s="29" t="s">
        <v>14</v>
      </c>
      <c r="F119" s="30">
        <v>21</v>
      </c>
      <c r="G119" s="10">
        <v>21</v>
      </c>
      <c r="H119" s="10">
        <v>3</v>
      </c>
      <c r="I119" s="51">
        <v>18</v>
      </c>
      <c r="K119" s="14">
        <f t="shared" si="3"/>
        <v>18</v>
      </c>
      <c r="L119" s="15">
        <f t="shared" si="4"/>
        <v>0</v>
      </c>
      <c r="M119" s="16">
        <f t="shared" si="5"/>
        <v>18</v>
      </c>
      <c r="N119" s="53">
        <v>18</v>
      </c>
    </row>
    <row r="120" spans="1:34" s="3" customFormat="1" x14ac:dyDescent="0.25">
      <c r="A120" s="19">
        <v>174</v>
      </c>
      <c r="B120" s="31" t="s">
        <v>109</v>
      </c>
      <c r="C120" s="32" t="s">
        <v>89</v>
      </c>
      <c r="D120" s="33" t="s">
        <v>10</v>
      </c>
      <c r="E120" s="29" t="s">
        <v>14</v>
      </c>
      <c r="F120" s="30">
        <v>1</v>
      </c>
      <c r="G120" s="10">
        <v>1</v>
      </c>
      <c r="H120" s="10">
        <v>1</v>
      </c>
      <c r="I120" s="51">
        <v>0</v>
      </c>
      <c r="K120" s="14">
        <f t="shared" si="3"/>
        <v>0</v>
      </c>
      <c r="L120" s="15">
        <f t="shared" si="4"/>
        <v>0</v>
      </c>
      <c r="M120" s="16">
        <f t="shared" si="5"/>
        <v>0</v>
      </c>
    </row>
    <row r="121" spans="1:34" s="3" customFormat="1" x14ac:dyDescent="0.25">
      <c r="A121" s="19">
        <v>175</v>
      </c>
      <c r="B121" s="31" t="s">
        <v>110</v>
      </c>
      <c r="C121" s="32" t="s">
        <v>111</v>
      </c>
      <c r="D121" s="33" t="s">
        <v>10</v>
      </c>
      <c r="E121" s="29" t="s">
        <v>13</v>
      </c>
      <c r="F121" s="30">
        <v>1</v>
      </c>
      <c r="G121" s="10">
        <v>1</v>
      </c>
      <c r="H121" s="10">
        <v>1</v>
      </c>
      <c r="I121" s="51">
        <v>0</v>
      </c>
      <c r="K121" s="14">
        <f t="shared" si="3"/>
        <v>0</v>
      </c>
      <c r="L121" s="15">
        <f t="shared" si="4"/>
        <v>0</v>
      </c>
      <c r="M121" s="16">
        <f t="shared" si="5"/>
        <v>0</v>
      </c>
    </row>
    <row r="122" spans="1:34" s="3" customFormat="1" x14ac:dyDescent="0.25">
      <c r="A122" s="19">
        <v>176</v>
      </c>
      <c r="B122" s="31" t="s">
        <v>112</v>
      </c>
      <c r="C122" s="32" t="s">
        <v>113</v>
      </c>
      <c r="D122" s="33" t="s">
        <v>10</v>
      </c>
      <c r="E122" s="29" t="s">
        <v>13</v>
      </c>
      <c r="F122" s="30">
        <v>4</v>
      </c>
      <c r="G122" s="10">
        <v>4</v>
      </c>
      <c r="H122" s="10"/>
      <c r="I122" s="51">
        <v>4</v>
      </c>
      <c r="K122" s="14">
        <f t="shared" si="3"/>
        <v>4</v>
      </c>
      <c r="L122" s="15">
        <f t="shared" si="4"/>
        <v>0</v>
      </c>
      <c r="M122" s="16">
        <f t="shared" si="5"/>
        <v>4</v>
      </c>
      <c r="N122" s="54">
        <v>4</v>
      </c>
    </row>
    <row r="123" spans="1:34" s="3" customFormat="1" x14ac:dyDescent="0.25">
      <c r="A123" s="19">
        <v>177</v>
      </c>
      <c r="B123" s="31" t="s">
        <v>114</v>
      </c>
      <c r="C123" s="32" t="s">
        <v>115</v>
      </c>
      <c r="D123" s="33" t="s">
        <v>10</v>
      </c>
      <c r="E123" s="29" t="s">
        <v>13</v>
      </c>
      <c r="F123" s="30">
        <v>5</v>
      </c>
      <c r="G123" s="10">
        <v>4</v>
      </c>
      <c r="H123" s="10">
        <v>4</v>
      </c>
      <c r="I123" s="51">
        <v>1</v>
      </c>
      <c r="K123" s="14">
        <f t="shared" si="3"/>
        <v>1</v>
      </c>
      <c r="L123" s="15">
        <f t="shared" si="4"/>
        <v>0</v>
      </c>
      <c r="M123" s="16">
        <f t="shared" si="5"/>
        <v>1</v>
      </c>
      <c r="N123" s="53">
        <v>1</v>
      </c>
    </row>
    <row r="124" spans="1:34" s="3" customFormat="1" x14ac:dyDescent="0.25">
      <c r="A124" s="19">
        <v>178</v>
      </c>
      <c r="B124" s="31" t="s">
        <v>114</v>
      </c>
      <c r="C124" s="32" t="s">
        <v>113</v>
      </c>
      <c r="D124" s="33" t="s">
        <v>10</v>
      </c>
      <c r="E124" s="29" t="s">
        <v>13</v>
      </c>
      <c r="F124" s="30">
        <v>34</v>
      </c>
      <c r="G124" s="10">
        <v>34</v>
      </c>
      <c r="H124" s="10">
        <v>1</v>
      </c>
      <c r="I124" s="51">
        <v>33</v>
      </c>
      <c r="K124" s="14">
        <f t="shared" si="3"/>
        <v>33</v>
      </c>
      <c r="L124" s="15">
        <f t="shared" si="4"/>
        <v>0</v>
      </c>
      <c r="M124" s="16">
        <f t="shared" si="5"/>
        <v>33</v>
      </c>
      <c r="N124" s="53">
        <v>30</v>
      </c>
      <c r="R124" s="53">
        <v>3</v>
      </c>
    </row>
    <row r="125" spans="1:34" s="3" customFormat="1" x14ac:dyDescent="0.25">
      <c r="A125" s="19">
        <v>179</v>
      </c>
      <c r="B125" s="31" t="s">
        <v>114</v>
      </c>
      <c r="C125" s="32" t="s">
        <v>116</v>
      </c>
      <c r="D125" s="33" t="s">
        <v>10</v>
      </c>
      <c r="E125" s="29" t="s">
        <v>13</v>
      </c>
      <c r="F125" s="30">
        <v>20</v>
      </c>
      <c r="G125" s="10">
        <v>23</v>
      </c>
      <c r="H125" s="10"/>
      <c r="I125" s="51">
        <v>23</v>
      </c>
      <c r="K125" s="14">
        <f t="shared" si="3"/>
        <v>23</v>
      </c>
      <c r="L125" s="15">
        <f t="shared" si="4"/>
        <v>0</v>
      </c>
      <c r="M125" s="16">
        <f t="shared" si="5"/>
        <v>23</v>
      </c>
      <c r="N125" s="53">
        <v>23</v>
      </c>
    </row>
    <row r="126" spans="1:34" s="3" customFormat="1" x14ac:dyDescent="0.25">
      <c r="A126" s="19">
        <v>180</v>
      </c>
      <c r="B126" s="31" t="s">
        <v>114</v>
      </c>
      <c r="C126" s="32" t="s">
        <v>117</v>
      </c>
      <c r="D126" s="33" t="s">
        <v>10</v>
      </c>
      <c r="E126" s="29" t="s">
        <v>13</v>
      </c>
      <c r="F126" s="30">
        <v>6</v>
      </c>
      <c r="G126" s="10">
        <v>5</v>
      </c>
      <c r="H126" s="10"/>
      <c r="I126" s="51">
        <v>6</v>
      </c>
      <c r="K126" s="14">
        <f t="shared" si="3"/>
        <v>6</v>
      </c>
      <c r="L126" s="15">
        <f t="shared" si="4"/>
        <v>0</v>
      </c>
      <c r="M126" s="16">
        <f t="shared" si="5"/>
        <v>6</v>
      </c>
      <c r="N126" s="53">
        <v>6</v>
      </c>
    </row>
    <row r="127" spans="1:34" s="3" customFormat="1" x14ac:dyDescent="0.25">
      <c r="A127" s="19">
        <v>181</v>
      </c>
      <c r="B127" s="31" t="s">
        <v>114</v>
      </c>
      <c r="C127" s="32" t="s">
        <v>118</v>
      </c>
      <c r="D127" s="33" t="s">
        <v>10</v>
      </c>
      <c r="E127" s="29" t="s">
        <v>13</v>
      </c>
      <c r="F127" s="30">
        <v>38</v>
      </c>
      <c r="G127" s="10">
        <v>38</v>
      </c>
      <c r="H127" s="10">
        <v>3</v>
      </c>
      <c r="I127" s="51">
        <v>35</v>
      </c>
      <c r="J127" s="3">
        <v>1</v>
      </c>
      <c r="K127" s="14">
        <f t="shared" si="3"/>
        <v>36</v>
      </c>
      <c r="L127" s="15">
        <f t="shared" si="4"/>
        <v>0</v>
      </c>
      <c r="M127" s="16">
        <f t="shared" si="5"/>
        <v>36</v>
      </c>
      <c r="N127" s="53">
        <v>35</v>
      </c>
      <c r="X127" s="53">
        <v>1</v>
      </c>
    </row>
    <row r="128" spans="1:34" s="3" customFormat="1" x14ac:dyDescent="0.25">
      <c r="A128" s="19">
        <v>182</v>
      </c>
      <c r="B128" s="31" t="s">
        <v>119</v>
      </c>
      <c r="C128" s="32" t="s">
        <v>115</v>
      </c>
      <c r="D128" s="33" t="s">
        <v>10</v>
      </c>
      <c r="E128" s="29" t="s">
        <v>13</v>
      </c>
      <c r="F128" s="30">
        <v>1</v>
      </c>
      <c r="G128" s="10">
        <v>1</v>
      </c>
      <c r="H128" s="10">
        <v>1</v>
      </c>
      <c r="I128" s="51">
        <v>0</v>
      </c>
      <c r="K128" s="14">
        <f t="shared" si="3"/>
        <v>0</v>
      </c>
      <c r="L128" s="15">
        <f t="shared" si="4"/>
        <v>0</v>
      </c>
      <c r="M128" s="16">
        <f t="shared" si="5"/>
        <v>0</v>
      </c>
    </row>
    <row r="129" spans="1:24" s="3" customFormat="1" x14ac:dyDescent="0.25">
      <c r="A129" s="19">
        <v>183</v>
      </c>
      <c r="B129" s="31" t="s">
        <v>119</v>
      </c>
      <c r="C129" s="32" t="s">
        <v>113</v>
      </c>
      <c r="D129" s="33" t="s">
        <v>10</v>
      </c>
      <c r="E129" s="29" t="s">
        <v>13</v>
      </c>
      <c r="F129" s="30">
        <v>8</v>
      </c>
      <c r="G129" s="10">
        <v>8</v>
      </c>
      <c r="H129" s="10"/>
      <c r="I129" s="51">
        <v>8</v>
      </c>
      <c r="K129" s="14">
        <f t="shared" si="3"/>
        <v>8</v>
      </c>
      <c r="L129" s="15">
        <f t="shared" si="4"/>
        <v>0</v>
      </c>
      <c r="M129" s="16">
        <f t="shared" si="5"/>
        <v>8</v>
      </c>
      <c r="N129" s="53">
        <v>8</v>
      </c>
    </row>
    <row r="130" spans="1:24" s="3" customFormat="1" x14ac:dyDescent="0.25">
      <c r="A130" s="19">
        <v>184</v>
      </c>
      <c r="B130" s="31" t="s">
        <v>119</v>
      </c>
      <c r="C130" s="32" t="s">
        <v>116</v>
      </c>
      <c r="D130" s="33" t="s">
        <v>10</v>
      </c>
      <c r="E130" s="29" t="s">
        <v>13</v>
      </c>
      <c r="F130" s="30">
        <v>16</v>
      </c>
      <c r="G130" s="10">
        <v>16</v>
      </c>
      <c r="H130" s="10"/>
      <c r="I130" s="51">
        <v>16</v>
      </c>
      <c r="K130" s="14">
        <f t="shared" si="3"/>
        <v>16</v>
      </c>
      <c r="L130" s="15">
        <f t="shared" si="4"/>
        <v>0</v>
      </c>
      <c r="M130" s="16">
        <f t="shared" si="5"/>
        <v>16</v>
      </c>
      <c r="N130" s="53">
        <v>16</v>
      </c>
    </row>
    <row r="131" spans="1:24" s="3" customFormat="1" x14ac:dyDescent="0.25">
      <c r="A131" s="19">
        <v>185</v>
      </c>
      <c r="B131" s="31" t="s">
        <v>119</v>
      </c>
      <c r="C131" s="32" t="s">
        <v>118</v>
      </c>
      <c r="D131" s="33" t="s">
        <v>10</v>
      </c>
      <c r="E131" s="29" t="s">
        <v>13</v>
      </c>
      <c r="F131" s="30">
        <v>11</v>
      </c>
      <c r="G131" s="10">
        <v>11</v>
      </c>
      <c r="H131" s="10"/>
      <c r="I131" s="51">
        <v>11</v>
      </c>
      <c r="K131" s="14">
        <f t="shared" si="3"/>
        <v>11</v>
      </c>
      <c r="L131" s="15">
        <f t="shared" si="4"/>
        <v>0</v>
      </c>
      <c r="M131" s="16">
        <f t="shared" si="5"/>
        <v>11</v>
      </c>
      <c r="N131" s="53">
        <v>11</v>
      </c>
    </row>
    <row r="132" spans="1:24" s="3" customFormat="1" x14ac:dyDescent="0.25">
      <c r="A132" s="19">
        <v>186</v>
      </c>
      <c r="B132" s="31" t="s">
        <v>120</v>
      </c>
      <c r="C132" s="32" t="s">
        <v>121</v>
      </c>
      <c r="D132" s="33" t="s">
        <v>10</v>
      </c>
      <c r="E132" s="29" t="s">
        <v>14</v>
      </c>
      <c r="F132" s="30">
        <v>1</v>
      </c>
      <c r="G132" s="10">
        <v>1</v>
      </c>
      <c r="H132" s="10"/>
      <c r="I132" s="51">
        <v>1</v>
      </c>
      <c r="K132" s="14">
        <f t="shared" ref="K132:K195" si="6">SUM(I132:J132)</f>
        <v>1</v>
      </c>
      <c r="L132" s="15">
        <f t="shared" si="4"/>
        <v>0</v>
      </c>
      <c r="M132" s="16">
        <f t="shared" si="5"/>
        <v>1</v>
      </c>
      <c r="S132" s="53">
        <v>1</v>
      </c>
    </row>
    <row r="133" spans="1:24" s="3" customFormat="1" x14ac:dyDescent="0.25">
      <c r="A133" s="19">
        <v>187</v>
      </c>
      <c r="B133" s="31" t="s">
        <v>120</v>
      </c>
      <c r="C133" s="32" t="s">
        <v>122</v>
      </c>
      <c r="D133" s="33" t="s">
        <v>10</v>
      </c>
      <c r="E133" s="29" t="s">
        <v>14</v>
      </c>
      <c r="F133" s="30">
        <v>4</v>
      </c>
      <c r="G133" s="10">
        <v>4</v>
      </c>
      <c r="H133" s="10"/>
      <c r="I133" s="51">
        <v>4</v>
      </c>
      <c r="K133" s="14">
        <f t="shared" si="6"/>
        <v>4</v>
      </c>
      <c r="L133" s="15">
        <f t="shared" ref="L133:L196" si="7">+M133-K133</f>
        <v>0</v>
      </c>
      <c r="M133" s="16">
        <f t="shared" ref="M133:M196" si="8">SUM(N133:EA133)</f>
        <v>4</v>
      </c>
      <c r="S133" s="53">
        <v>4</v>
      </c>
    </row>
    <row r="134" spans="1:24" s="3" customFormat="1" x14ac:dyDescent="0.25">
      <c r="A134" s="19">
        <v>188</v>
      </c>
      <c r="B134" s="31" t="s">
        <v>120</v>
      </c>
      <c r="C134" s="32" t="s">
        <v>123</v>
      </c>
      <c r="D134" s="33" t="s">
        <v>10</v>
      </c>
      <c r="E134" s="29" t="s">
        <v>14</v>
      </c>
      <c r="F134" s="30">
        <v>3</v>
      </c>
      <c r="G134" s="10">
        <v>3</v>
      </c>
      <c r="H134" s="10"/>
      <c r="I134" s="51">
        <v>3</v>
      </c>
      <c r="K134" s="14">
        <f t="shared" si="6"/>
        <v>3</v>
      </c>
      <c r="L134" s="15">
        <f t="shared" si="7"/>
        <v>0</v>
      </c>
      <c r="M134" s="16">
        <f t="shared" si="8"/>
        <v>3</v>
      </c>
      <c r="S134" s="53">
        <v>3</v>
      </c>
    </row>
    <row r="135" spans="1:24" s="3" customFormat="1" x14ac:dyDescent="0.25">
      <c r="A135" s="19">
        <v>189</v>
      </c>
      <c r="B135" s="31" t="s">
        <v>124</v>
      </c>
      <c r="C135" s="32" t="s">
        <v>121</v>
      </c>
      <c r="D135" s="33" t="s">
        <v>10</v>
      </c>
      <c r="E135" s="29" t="s">
        <v>14</v>
      </c>
      <c r="F135" s="30">
        <v>1</v>
      </c>
      <c r="G135" s="10">
        <v>1</v>
      </c>
      <c r="H135" s="10">
        <v>1</v>
      </c>
      <c r="I135" s="51">
        <v>0</v>
      </c>
      <c r="K135" s="14">
        <f t="shared" si="6"/>
        <v>0</v>
      </c>
      <c r="L135" s="15">
        <f t="shared" si="7"/>
        <v>0</v>
      </c>
      <c r="M135" s="16">
        <f t="shared" si="8"/>
        <v>0</v>
      </c>
    </row>
    <row r="136" spans="1:24" s="3" customFormat="1" x14ac:dyDescent="0.25">
      <c r="A136" s="19">
        <v>190</v>
      </c>
      <c r="B136" s="31" t="s">
        <v>125</v>
      </c>
      <c r="C136" s="32" t="s">
        <v>121</v>
      </c>
      <c r="D136" s="33" t="s">
        <v>10</v>
      </c>
      <c r="E136" s="29" t="s">
        <v>13</v>
      </c>
      <c r="F136" s="30">
        <v>4</v>
      </c>
      <c r="G136" s="10">
        <v>4</v>
      </c>
      <c r="H136" s="10">
        <v>1</v>
      </c>
      <c r="I136" s="51">
        <v>3</v>
      </c>
      <c r="K136" s="14">
        <f t="shared" si="6"/>
        <v>3</v>
      </c>
      <c r="L136" s="15">
        <f t="shared" si="7"/>
        <v>0</v>
      </c>
      <c r="M136" s="16">
        <f t="shared" si="8"/>
        <v>3</v>
      </c>
      <c r="S136" s="53">
        <v>3</v>
      </c>
    </row>
    <row r="137" spans="1:24" s="3" customFormat="1" x14ac:dyDescent="0.25">
      <c r="A137" s="19">
        <v>191</v>
      </c>
      <c r="B137" s="31" t="s">
        <v>125</v>
      </c>
      <c r="C137" s="32" t="s">
        <v>122</v>
      </c>
      <c r="D137" s="33" t="s">
        <v>10</v>
      </c>
      <c r="E137" s="29" t="s">
        <v>13</v>
      </c>
      <c r="F137" s="30">
        <v>6</v>
      </c>
      <c r="G137" s="10">
        <v>6</v>
      </c>
      <c r="H137" s="10"/>
      <c r="I137" s="51">
        <v>6</v>
      </c>
      <c r="K137" s="14">
        <f t="shared" si="6"/>
        <v>6</v>
      </c>
      <c r="L137" s="15">
        <f t="shared" si="7"/>
        <v>0</v>
      </c>
      <c r="M137" s="16">
        <f t="shared" si="8"/>
        <v>6</v>
      </c>
      <c r="S137" s="53">
        <v>6</v>
      </c>
    </row>
    <row r="138" spans="1:24" s="3" customFormat="1" x14ac:dyDescent="0.25">
      <c r="A138" s="19">
        <v>192</v>
      </c>
      <c r="B138" s="31" t="s">
        <v>125</v>
      </c>
      <c r="C138" s="32" t="s">
        <v>123</v>
      </c>
      <c r="D138" s="33" t="s">
        <v>10</v>
      </c>
      <c r="E138" s="29" t="s">
        <v>13</v>
      </c>
      <c r="F138" s="30">
        <v>4</v>
      </c>
      <c r="G138" s="10">
        <v>4</v>
      </c>
      <c r="H138" s="10"/>
      <c r="I138" s="51">
        <v>4</v>
      </c>
      <c r="K138" s="14">
        <f t="shared" si="6"/>
        <v>4</v>
      </c>
      <c r="L138" s="15">
        <f t="shared" si="7"/>
        <v>0</v>
      </c>
      <c r="M138" s="16">
        <f t="shared" si="8"/>
        <v>4</v>
      </c>
      <c r="S138" s="53">
        <v>4</v>
      </c>
    </row>
    <row r="139" spans="1:24" s="3" customFormat="1" x14ac:dyDescent="0.25">
      <c r="A139" s="19">
        <v>193</v>
      </c>
      <c r="B139" s="31" t="s">
        <v>125</v>
      </c>
      <c r="C139" s="32" t="s">
        <v>126</v>
      </c>
      <c r="D139" s="33" t="s">
        <v>10</v>
      </c>
      <c r="E139" s="29" t="s">
        <v>13</v>
      </c>
      <c r="F139" s="30">
        <v>1</v>
      </c>
      <c r="G139" s="10">
        <v>1</v>
      </c>
      <c r="H139" s="10">
        <v>1</v>
      </c>
      <c r="I139" s="51">
        <v>0</v>
      </c>
      <c r="K139" s="14">
        <f t="shared" si="6"/>
        <v>0</v>
      </c>
      <c r="L139" s="15">
        <f t="shared" si="7"/>
        <v>0</v>
      </c>
      <c r="M139" s="16">
        <f t="shared" si="8"/>
        <v>0</v>
      </c>
    </row>
    <row r="140" spans="1:24" s="3" customFormat="1" x14ac:dyDescent="0.25">
      <c r="A140" s="19">
        <v>194</v>
      </c>
      <c r="B140" s="31" t="s">
        <v>127</v>
      </c>
      <c r="C140" s="32" t="s">
        <v>128</v>
      </c>
      <c r="D140" s="33" t="s">
        <v>10</v>
      </c>
      <c r="E140" s="29" t="s">
        <v>383</v>
      </c>
      <c r="F140" s="30">
        <v>1</v>
      </c>
      <c r="G140" s="10">
        <v>1</v>
      </c>
      <c r="H140" s="10"/>
      <c r="I140" s="51">
        <v>1</v>
      </c>
      <c r="K140" s="14">
        <f t="shared" si="6"/>
        <v>1</v>
      </c>
      <c r="L140" s="15">
        <f t="shared" si="7"/>
        <v>0</v>
      </c>
      <c r="M140" s="16">
        <f t="shared" si="8"/>
        <v>1</v>
      </c>
      <c r="S140" s="53">
        <v>1</v>
      </c>
    </row>
    <row r="141" spans="1:24" s="3" customFormat="1" x14ac:dyDescent="0.25">
      <c r="A141" s="19">
        <v>195</v>
      </c>
      <c r="B141" s="31" t="s">
        <v>129</v>
      </c>
      <c r="C141" s="32" t="s">
        <v>130</v>
      </c>
      <c r="D141" s="33" t="s">
        <v>10</v>
      </c>
      <c r="E141" s="29" t="s">
        <v>13</v>
      </c>
      <c r="F141" s="30">
        <v>5</v>
      </c>
      <c r="G141" s="10">
        <v>5</v>
      </c>
      <c r="H141" s="10"/>
      <c r="I141" s="51">
        <v>5</v>
      </c>
      <c r="K141" s="14">
        <f t="shared" si="6"/>
        <v>5</v>
      </c>
      <c r="L141" s="15">
        <f t="shared" si="7"/>
        <v>0</v>
      </c>
      <c r="M141" s="16">
        <f t="shared" si="8"/>
        <v>5</v>
      </c>
      <c r="N141" s="53">
        <v>5</v>
      </c>
    </row>
    <row r="142" spans="1:24" s="3" customFormat="1" x14ac:dyDescent="0.25">
      <c r="A142" s="19">
        <v>196</v>
      </c>
      <c r="B142" s="31" t="s">
        <v>131</v>
      </c>
      <c r="C142" s="32" t="s">
        <v>132</v>
      </c>
      <c r="D142" s="33" t="s">
        <v>10</v>
      </c>
      <c r="E142" s="29" t="s">
        <v>13</v>
      </c>
      <c r="F142" s="30">
        <v>6</v>
      </c>
      <c r="G142" s="10">
        <v>6</v>
      </c>
      <c r="H142" s="10"/>
      <c r="I142" s="51">
        <v>6</v>
      </c>
      <c r="K142" s="14">
        <f t="shared" si="6"/>
        <v>6</v>
      </c>
      <c r="L142" s="15">
        <f t="shared" si="7"/>
        <v>0</v>
      </c>
      <c r="M142" s="16">
        <f t="shared" si="8"/>
        <v>6</v>
      </c>
      <c r="R142" s="53">
        <v>6</v>
      </c>
    </row>
    <row r="143" spans="1:24" s="3" customFormat="1" x14ac:dyDescent="0.25">
      <c r="A143" s="19">
        <v>197</v>
      </c>
      <c r="B143" s="31" t="s">
        <v>133</v>
      </c>
      <c r="C143" s="32" t="s">
        <v>132</v>
      </c>
      <c r="D143" s="33" t="s">
        <v>10</v>
      </c>
      <c r="E143" s="29" t="s">
        <v>13</v>
      </c>
      <c r="F143" s="30">
        <v>1</v>
      </c>
      <c r="G143" s="10">
        <v>2</v>
      </c>
      <c r="H143" s="10"/>
      <c r="I143" s="51">
        <v>2</v>
      </c>
      <c r="K143" s="14">
        <f t="shared" si="6"/>
        <v>2</v>
      </c>
      <c r="L143" s="15">
        <f t="shared" si="7"/>
        <v>0</v>
      </c>
      <c r="M143" s="16">
        <f t="shared" si="8"/>
        <v>2</v>
      </c>
      <c r="N143" s="53">
        <v>2</v>
      </c>
    </row>
    <row r="144" spans="1:24" s="3" customFormat="1" x14ac:dyDescent="0.25">
      <c r="A144" s="19">
        <v>198</v>
      </c>
      <c r="B144" s="31" t="s">
        <v>133</v>
      </c>
      <c r="C144" s="32" t="s">
        <v>134</v>
      </c>
      <c r="D144" s="33" t="s">
        <v>10</v>
      </c>
      <c r="E144" s="29" t="s">
        <v>13</v>
      </c>
      <c r="F144" s="30">
        <v>17</v>
      </c>
      <c r="G144" s="10">
        <v>17</v>
      </c>
      <c r="H144" s="10"/>
      <c r="I144" s="51">
        <v>17</v>
      </c>
      <c r="J144" s="3">
        <v>1</v>
      </c>
      <c r="K144" s="14">
        <f t="shared" si="6"/>
        <v>18</v>
      </c>
      <c r="L144" s="15">
        <f t="shared" si="7"/>
        <v>0</v>
      </c>
      <c r="M144" s="16">
        <f t="shared" si="8"/>
        <v>18</v>
      </c>
      <c r="N144" s="53">
        <v>17</v>
      </c>
      <c r="X144" s="53">
        <v>1</v>
      </c>
    </row>
    <row r="145" spans="1:33" s="3" customFormat="1" x14ac:dyDescent="0.25">
      <c r="A145" s="19">
        <v>199</v>
      </c>
      <c r="B145" s="31" t="s">
        <v>135</v>
      </c>
      <c r="C145" s="32" t="s">
        <v>121</v>
      </c>
      <c r="D145" s="33" t="s">
        <v>10</v>
      </c>
      <c r="E145" s="29" t="s">
        <v>14</v>
      </c>
      <c r="F145" s="30">
        <v>40</v>
      </c>
      <c r="G145" s="10">
        <v>39</v>
      </c>
      <c r="H145" s="10">
        <v>1</v>
      </c>
      <c r="I145" s="51">
        <v>39</v>
      </c>
      <c r="K145" s="14">
        <f t="shared" si="6"/>
        <v>39</v>
      </c>
      <c r="L145" s="15">
        <f t="shared" si="7"/>
        <v>0</v>
      </c>
      <c r="M145" s="16">
        <f t="shared" si="8"/>
        <v>39</v>
      </c>
      <c r="N145" s="53">
        <v>5</v>
      </c>
      <c r="R145" s="53">
        <v>19</v>
      </c>
      <c r="AA145" s="53">
        <v>15</v>
      </c>
    </row>
    <row r="146" spans="1:33" s="3" customFormat="1" x14ac:dyDescent="0.25">
      <c r="A146" s="19">
        <v>200</v>
      </c>
      <c r="B146" s="31" t="s">
        <v>135</v>
      </c>
      <c r="C146" s="32" t="s">
        <v>122</v>
      </c>
      <c r="D146" s="33" t="s">
        <v>10</v>
      </c>
      <c r="E146" s="29" t="s">
        <v>14</v>
      </c>
      <c r="F146" s="30">
        <v>29</v>
      </c>
      <c r="G146" s="10">
        <v>30</v>
      </c>
      <c r="H146" s="10">
        <v>15</v>
      </c>
      <c r="I146" s="51">
        <v>14</v>
      </c>
      <c r="J146" s="3">
        <v>4</v>
      </c>
      <c r="K146" s="14">
        <f t="shared" si="6"/>
        <v>18</v>
      </c>
      <c r="L146" s="15">
        <f t="shared" si="7"/>
        <v>0</v>
      </c>
      <c r="M146" s="16">
        <f t="shared" si="8"/>
        <v>18</v>
      </c>
      <c r="N146" s="53">
        <v>1</v>
      </c>
      <c r="R146" s="53">
        <v>13</v>
      </c>
      <c r="AG146" s="53">
        <v>4</v>
      </c>
    </row>
    <row r="147" spans="1:33" s="3" customFormat="1" x14ac:dyDescent="0.25">
      <c r="A147" s="19">
        <v>201</v>
      </c>
      <c r="B147" s="31" t="s">
        <v>135</v>
      </c>
      <c r="C147" s="32" t="s">
        <v>123</v>
      </c>
      <c r="D147" s="33" t="s">
        <v>10</v>
      </c>
      <c r="E147" s="29" t="s">
        <v>14</v>
      </c>
      <c r="F147" s="30">
        <v>22</v>
      </c>
      <c r="G147" s="10">
        <v>22</v>
      </c>
      <c r="H147" s="10">
        <v>2</v>
      </c>
      <c r="I147" s="51">
        <v>20</v>
      </c>
      <c r="J147" s="3">
        <v>1</v>
      </c>
      <c r="K147" s="14">
        <f t="shared" si="6"/>
        <v>21</v>
      </c>
      <c r="L147" s="15">
        <f t="shared" si="7"/>
        <v>0</v>
      </c>
      <c r="M147" s="16">
        <f t="shared" si="8"/>
        <v>21</v>
      </c>
      <c r="N147" s="53">
        <v>6</v>
      </c>
      <c r="R147" s="53">
        <v>14</v>
      </c>
      <c r="AG147" s="53">
        <v>1</v>
      </c>
    </row>
    <row r="148" spans="1:33" s="3" customFormat="1" x14ac:dyDescent="0.25">
      <c r="A148" s="19">
        <v>202</v>
      </c>
      <c r="B148" s="31" t="s">
        <v>135</v>
      </c>
      <c r="C148" s="32" t="s">
        <v>126</v>
      </c>
      <c r="D148" s="33" t="s">
        <v>10</v>
      </c>
      <c r="E148" s="29" t="s">
        <v>14</v>
      </c>
      <c r="F148" s="30">
        <v>8</v>
      </c>
      <c r="G148" s="10">
        <v>8</v>
      </c>
      <c r="H148" s="10">
        <v>7</v>
      </c>
      <c r="I148" s="51">
        <v>1</v>
      </c>
      <c r="K148" s="14">
        <f t="shared" si="6"/>
        <v>1</v>
      </c>
      <c r="L148" s="15">
        <f t="shared" si="7"/>
        <v>0</v>
      </c>
      <c r="M148" s="16">
        <f t="shared" si="8"/>
        <v>1</v>
      </c>
      <c r="R148" s="53">
        <v>1</v>
      </c>
    </row>
    <row r="149" spans="1:33" s="3" customFormat="1" x14ac:dyDescent="0.25">
      <c r="A149" s="19">
        <v>203</v>
      </c>
      <c r="B149" s="31" t="s">
        <v>136</v>
      </c>
      <c r="C149" s="32" t="s">
        <v>128</v>
      </c>
      <c r="D149" s="33" t="s">
        <v>10</v>
      </c>
      <c r="E149" s="29" t="s">
        <v>385</v>
      </c>
      <c r="F149" s="30">
        <v>2</v>
      </c>
      <c r="G149" s="10">
        <v>2</v>
      </c>
      <c r="H149" s="10"/>
      <c r="I149" s="51">
        <v>2</v>
      </c>
      <c r="K149" s="14">
        <f t="shared" si="6"/>
        <v>2</v>
      </c>
      <c r="L149" s="15">
        <f t="shared" si="7"/>
        <v>0</v>
      </c>
      <c r="M149" s="16">
        <f t="shared" si="8"/>
        <v>2</v>
      </c>
      <c r="U149" s="53">
        <v>1</v>
      </c>
      <c r="Y149" s="53">
        <v>1</v>
      </c>
    </row>
    <row r="150" spans="1:33" s="3" customFormat="1" x14ac:dyDescent="0.25">
      <c r="A150" s="19">
        <v>204</v>
      </c>
      <c r="B150" s="31" t="s">
        <v>136</v>
      </c>
      <c r="C150" s="32" t="s">
        <v>137</v>
      </c>
      <c r="D150" s="33" t="s">
        <v>10</v>
      </c>
      <c r="E150" s="29" t="s">
        <v>385</v>
      </c>
      <c r="F150" s="30">
        <v>1</v>
      </c>
      <c r="G150" s="10">
        <v>1</v>
      </c>
      <c r="H150" s="10"/>
      <c r="I150" s="51">
        <v>1</v>
      </c>
      <c r="K150" s="14">
        <f t="shared" si="6"/>
        <v>1</v>
      </c>
      <c r="L150" s="15">
        <f t="shared" si="7"/>
        <v>0</v>
      </c>
      <c r="M150" s="16">
        <f t="shared" si="8"/>
        <v>1</v>
      </c>
      <c r="U150" s="53">
        <v>1</v>
      </c>
    </row>
    <row r="151" spans="1:33" s="3" customFormat="1" x14ac:dyDescent="0.25">
      <c r="A151" s="19">
        <v>205</v>
      </c>
      <c r="B151" s="31" t="s">
        <v>136</v>
      </c>
      <c r="C151" s="32" t="s">
        <v>122</v>
      </c>
      <c r="D151" s="33" t="s">
        <v>10</v>
      </c>
      <c r="E151" s="29" t="s">
        <v>384</v>
      </c>
      <c r="F151" s="30">
        <v>9</v>
      </c>
      <c r="G151" s="10">
        <v>11</v>
      </c>
      <c r="H151" s="10"/>
      <c r="I151" s="51">
        <v>11</v>
      </c>
      <c r="J151" s="3">
        <v>1</v>
      </c>
      <c r="K151" s="14">
        <f t="shared" si="6"/>
        <v>12</v>
      </c>
      <c r="L151" s="15">
        <f t="shared" si="7"/>
        <v>0</v>
      </c>
      <c r="M151" s="16">
        <f t="shared" si="8"/>
        <v>12</v>
      </c>
      <c r="AA151" s="53">
        <v>11</v>
      </c>
      <c r="AG151" s="53">
        <v>1</v>
      </c>
    </row>
    <row r="152" spans="1:33" s="3" customFormat="1" x14ac:dyDescent="0.25">
      <c r="A152" s="19">
        <v>206</v>
      </c>
      <c r="B152" s="31" t="s">
        <v>136</v>
      </c>
      <c r="C152" s="32" t="s">
        <v>123</v>
      </c>
      <c r="D152" s="33" t="s">
        <v>10</v>
      </c>
      <c r="E152" s="29" t="s">
        <v>384</v>
      </c>
      <c r="F152" s="30">
        <v>12</v>
      </c>
      <c r="G152" s="10">
        <v>12</v>
      </c>
      <c r="H152" s="10">
        <v>12</v>
      </c>
      <c r="I152" s="51">
        <v>0</v>
      </c>
      <c r="J152" s="3">
        <v>1</v>
      </c>
      <c r="K152" s="14">
        <f t="shared" si="6"/>
        <v>1</v>
      </c>
      <c r="L152" s="15">
        <f t="shared" si="7"/>
        <v>0</v>
      </c>
      <c r="M152" s="16">
        <f t="shared" si="8"/>
        <v>1</v>
      </c>
      <c r="AG152" s="53">
        <v>1</v>
      </c>
    </row>
    <row r="153" spans="1:33" s="3" customFormat="1" x14ac:dyDescent="0.25">
      <c r="A153" s="19">
        <v>207</v>
      </c>
      <c r="B153" s="31" t="s">
        <v>136</v>
      </c>
      <c r="C153" s="32" t="s">
        <v>126</v>
      </c>
      <c r="D153" s="33" t="s">
        <v>10</v>
      </c>
      <c r="E153" s="29" t="s">
        <v>384</v>
      </c>
      <c r="F153" s="30">
        <v>13</v>
      </c>
      <c r="G153" s="10">
        <v>13</v>
      </c>
      <c r="H153" s="10">
        <v>13</v>
      </c>
      <c r="I153" s="51">
        <v>0</v>
      </c>
      <c r="K153" s="14">
        <f t="shared" si="6"/>
        <v>0</v>
      </c>
      <c r="L153" s="15">
        <f t="shared" si="7"/>
        <v>0</v>
      </c>
      <c r="M153" s="16">
        <f t="shared" si="8"/>
        <v>0</v>
      </c>
    </row>
    <row r="154" spans="1:33" s="3" customFormat="1" x14ac:dyDescent="0.25">
      <c r="A154" s="19">
        <v>208</v>
      </c>
      <c r="B154" s="31" t="s">
        <v>136</v>
      </c>
      <c r="C154" s="32" t="s">
        <v>138</v>
      </c>
      <c r="D154" s="33" t="s">
        <v>10</v>
      </c>
      <c r="E154" s="29" t="s">
        <v>384</v>
      </c>
      <c r="F154" s="30">
        <v>6</v>
      </c>
      <c r="G154" s="10">
        <v>6</v>
      </c>
      <c r="H154" s="10">
        <v>3</v>
      </c>
      <c r="I154" s="51">
        <v>3</v>
      </c>
      <c r="K154" s="14">
        <f t="shared" si="6"/>
        <v>3</v>
      </c>
      <c r="L154" s="15">
        <f t="shared" si="7"/>
        <v>0</v>
      </c>
      <c r="M154" s="16">
        <f t="shared" si="8"/>
        <v>3</v>
      </c>
      <c r="AA154" s="53">
        <v>3</v>
      </c>
    </row>
    <row r="155" spans="1:33" s="3" customFormat="1" x14ac:dyDescent="0.25">
      <c r="A155" s="19">
        <v>209</v>
      </c>
      <c r="B155" s="31" t="s">
        <v>139</v>
      </c>
      <c r="C155" s="32" t="s">
        <v>121</v>
      </c>
      <c r="D155" s="33" t="s">
        <v>10</v>
      </c>
      <c r="E155" s="29" t="s">
        <v>14</v>
      </c>
      <c r="F155" s="30">
        <v>23</v>
      </c>
      <c r="G155" s="10">
        <v>25</v>
      </c>
      <c r="H155" s="10">
        <v>1</v>
      </c>
      <c r="I155" s="51">
        <v>24</v>
      </c>
      <c r="K155" s="14">
        <f t="shared" si="6"/>
        <v>24</v>
      </c>
      <c r="L155" s="15">
        <f t="shared" si="7"/>
        <v>0</v>
      </c>
      <c r="M155" s="16">
        <f t="shared" si="8"/>
        <v>24</v>
      </c>
      <c r="R155" s="53">
        <v>24</v>
      </c>
    </row>
    <row r="156" spans="1:33" s="3" customFormat="1" x14ac:dyDescent="0.25">
      <c r="A156" s="19">
        <v>210</v>
      </c>
      <c r="B156" s="31" t="s">
        <v>139</v>
      </c>
      <c r="C156" s="32" t="s">
        <v>123</v>
      </c>
      <c r="D156" s="33" t="s">
        <v>10</v>
      </c>
      <c r="E156" s="29" t="s">
        <v>14</v>
      </c>
      <c r="F156" s="30">
        <v>1</v>
      </c>
      <c r="G156" s="10">
        <v>1</v>
      </c>
      <c r="H156" s="10">
        <v>1</v>
      </c>
      <c r="I156" s="51">
        <v>0</v>
      </c>
      <c r="K156" s="14">
        <f t="shared" si="6"/>
        <v>0</v>
      </c>
      <c r="L156" s="15">
        <f t="shared" si="7"/>
        <v>0</v>
      </c>
      <c r="M156" s="16">
        <f t="shared" si="8"/>
        <v>0</v>
      </c>
    </row>
    <row r="157" spans="1:33" s="3" customFormat="1" x14ac:dyDescent="0.25">
      <c r="A157" s="19">
        <v>211</v>
      </c>
      <c r="B157" s="31" t="s">
        <v>140</v>
      </c>
      <c r="C157" s="32" t="s">
        <v>134</v>
      </c>
      <c r="D157" s="33" t="s">
        <v>10</v>
      </c>
      <c r="E157" s="29" t="s">
        <v>13</v>
      </c>
      <c r="F157" s="30">
        <v>25</v>
      </c>
      <c r="G157" s="10">
        <v>25</v>
      </c>
      <c r="H157" s="10"/>
      <c r="I157" s="51">
        <v>25</v>
      </c>
      <c r="K157" s="14">
        <f t="shared" si="6"/>
        <v>25</v>
      </c>
      <c r="L157" s="15">
        <f t="shared" si="7"/>
        <v>0</v>
      </c>
      <c r="M157" s="16">
        <f t="shared" si="8"/>
        <v>25</v>
      </c>
      <c r="N157" s="53">
        <v>25</v>
      </c>
    </row>
    <row r="158" spans="1:33" s="3" customFormat="1" x14ac:dyDescent="0.25">
      <c r="A158" s="19">
        <v>212</v>
      </c>
      <c r="B158" s="31" t="s">
        <v>140</v>
      </c>
      <c r="C158" s="32" t="s">
        <v>132</v>
      </c>
      <c r="D158" s="33" t="s">
        <v>10</v>
      </c>
      <c r="E158" s="29" t="s">
        <v>13</v>
      </c>
      <c r="F158" s="30">
        <v>64</v>
      </c>
      <c r="G158" s="10">
        <v>63</v>
      </c>
      <c r="H158" s="10">
        <v>1</v>
      </c>
      <c r="I158" s="51">
        <v>63</v>
      </c>
      <c r="J158" s="3">
        <v>3</v>
      </c>
      <c r="K158" s="14">
        <f t="shared" si="6"/>
        <v>66</v>
      </c>
      <c r="L158" s="15">
        <f t="shared" si="7"/>
        <v>0</v>
      </c>
      <c r="M158" s="16">
        <f t="shared" si="8"/>
        <v>66</v>
      </c>
      <c r="N158" s="53">
        <v>63</v>
      </c>
      <c r="X158" s="53">
        <v>3</v>
      </c>
    </row>
    <row r="159" spans="1:33" s="3" customFormat="1" x14ac:dyDescent="0.25">
      <c r="A159" s="19">
        <v>213</v>
      </c>
      <c r="B159" s="31" t="s">
        <v>140</v>
      </c>
      <c r="C159" s="32" t="s">
        <v>141</v>
      </c>
      <c r="D159" s="33" t="s">
        <v>10</v>
      </c>
      <c r="E159" s="29" t="s">
        <v>13</v>
      </c>
      <c r="F159" s="30">
        <v>34</v>
      </c>
      <c r="G159" s="10">
        <v>32</v>
      </c>
      <c r="H159" s="10">
        <v>1</v>
      </c>
      <c r="I159" s="51">
        <v>33</v>
      </c>
      <c r="J159" s="3">
        <v>1</v>
      </c>
      <c r="K159" s="14">
        <f t="shared" si="6"/>
        <v>34</v>
      </c>
      <c r="L159" s="15">
        <f t="shared" si="7"/>
        <v>0</v>
      </c>
      <c r="M159" s="16">
        <f t="shared" si="8"/>
        <v>34</v>
      </c>
      <c r="N159" s="53">
        <v>33</v>
      </c>
      <c r="X159" s="53">
        <v>1</v>
      </c>
    </row>
    <row r="160" spans="1:33" s="3" customFormat="1" x14ac:dyDescent="0.25">
      <c r="A160" s="19">
        <v>214</v>
      </c>
      <c r="B160" s="31" t="s">
        <v>142</v>
      </c>
      <c r="C160" s="32" t="s">
        <v>134</v>
      </c>
      <c r="D160" s="33" t="s">
        <v>10</v>
      </c>
      <c r="E160" s="29" t="s">
        <v>13</v>
      </c>
      <c r="F160" s="30">
        <v>4</v>
      </c>
      <c r="G160" s="10">
        <v>4</v>
      </c>
      <c r="H160" s="10"/>
      <c r="I160" s="51">
        <v>4</v>
      </c>
      <c r="K160" s="14">
        <f t="shared" si="6"/>
        <v>4</v>
      </c>
      <c r="L160" s="15">
        <f t="shared" si="7"/>
        <v>0</v>
      </c>
      <c r="M160" s="16">
        <f t="shared" si="8"/>
        <v>4</v>
      </c>
      <c r="N160" s="53">
        <v>2</v>
      </c>
      <c r="R160" s="53">
        <v>2</v>
      </c>
    </row>
    <row r="161" spans="1:34" s="3" customFormat="1" x14ac:dyDescent="0.25">
      <c r="A161" s="19">
        <v>215</v>
      </c>
      <c r="B161" s="31" t="s">
        <v>142</v>
      </c>
      <c r="C161" s="32" t="s">
        <v>132</v>
      </c>
      <c r="D161" s="33" t="s">
        <v>10</v>
      </c>
      <c r="E161" s="29" t="s">
        <v>13</v>
      </c>
      <c r="F161" s="30">
        <v>40</v>
      </c>
      <c r="G161" s="10">
        <v>40</v>
      </c>
      <c r="H161" s="10"/>
      <c r="I161" s="51">
        <v>40</v>
      </c>
      <c r="K161" s="14">
        <f t="shared" si="6"/>
        <v>40</v>
      </c>
      <c r="L161" s="15">
        <f t="shared" si="7"/>
        <v>0</v>
      </c>
      <c r="M161" s="16">
        <f t="shared" si="8"/>
        <v>40</v>
      </c>
      <c r="N161" s="53">
        <v>40</v>
      </c>
    </row>
    <row r="162" spans="1:34" s="3" customFormat="1" x14ac:dyDescent="0.25">
      <c r="A162" s="19">
        <v>216</v>
      </c>
      <c r="B162" s="31" t="s">
        <v>142</v>
      </c>
      <c r="C162" s="32" t="s">
        <v>141</v>
      </c>
      <c r="D162" s="33" t="s">
        <v>10</v>
      </c>
      <c r="E162" s="29" t="s">
        <v>13</v>
      </c>
      <c r="F162" s="30">
        <v>21</v>
      </c>
      <c r="G162" s="10">
        <v>21</v>
      </c>
      <c r="H162" s="10"/>
      <c r="I162" s="51">
        <v>21</v>
      </c>
      <c r="K162" s="14">
        <f t="shared" si="6"/>
        <v>21</v>
      </c>
      <c r="L162" s="15">
        <f t="shared" si="7"/>
        <v>0</v>
      </c>
      <c r="M162" s="16">
        <f t="shared" si="8"/>
        <v>21</v>
      </c>
      <c r="N162" s="53">
        <v>21</v>
      </c>
    </row>
    <row r="163" spans="1:34" s="3" customFormat="1" x14ac:dyDescent="0.25">
      <c r="A163" s="19">
        <v>217</v>
      </c>
      <c r="B163" s="31" t="s">
        <v>143</v>
      </c>
      <c r="C163" s="32" t="s">
        <v>144</v>
      </c>
      <c r="D163" s="33" t="s">
        <v>10</v>
      </c>
      <c r="E163" s="29" t="s">
        <v>13</v>
      </c>
      <c r="F163" s="30">
        <v>2</v>
      </c>
      <c r="G163" s="10">
        <v>2</v>
      </c>
      <c r="H163" s="10"/>
      <c r="I163" s="51">
        <v>2</v>
      </c>
      <c r="K163" s="14">
        <f t="shared" si="6"/>
        <v>2</v>
      </c>
      <c r="L163" s="15">
        <f t="shared" si="7"/>
        <v>0</v>
      </c>
      <c r="M163" s="16">
        <f t="shared" si="8"/>
        <v>2</v>
      </c>
      <c r="V163" s="53">
        <v>2</v>
      </c>
    </row>
    <row r="164" spans="1:34" s="3" customFormat="1" x14ac:dyDescent="0.25">
      <c r="A164" s="19">
        <v>218</v>
      </c>
      <c r="B164" s="31" t="s">
        <v>143</v>
      </c>
      <c r="C164" s="32" t="s">
        <v>145</v>
      </c>
      <c r="D164" s="33" t="s">
        <v>10</v>
      </c>
      <c r="E164" s="29" t="s">
        <v>13</v>
      </c>
      <c r="F164" s="30">
        <v>4</v>
      </c>
      <c r="G164" s="10">
        <v>4</v>
      </c>
      <c r="H164" s="10"/>
      <c r="I164" s="51">
        <v>4</v>
      </c>
      <c r="K164" s="14">
        <f t="shared" si="6"/>
        <v>4</v>
      </c>
      <c r="L164" s="15">
        <f t="shared" si="7"/>
        <v>0</v>
      </c>
      <c r="M164" s="16">
        <f t="shared" si="8"/>
        <v>4</v>
      </c>
      <c r="W164" s="53">
        <v>4</v>
      </c>
    </row>
    <row r="165" spans="1:34" s="3" customFormat="1" x14ac:dyDescent="0.25">
      <c r="A165" s="19">
        <v>219</v>
      </c>
      <c r="B165" s="31" t="s">
        <v>146</v>
      </c>
      <c r="C165" s="32" t="s">
        <v>147</v>
      </c>
      <c r="D165" s="33" t="s">
        <v>10</v>
      </c>
      <c r="E165" s="29" t="s">
        <v>14</v>
      </c>
      <c r="F165" s="30">
        <v>1</v>
      </c>
      <c r="G165" s="10">
        <v>2</v>
      </c>
      <c r="H165" s="10"/>
      <c r="I165" s="51">
        <v>2</v>
      </c>
      <c r="K165" s="14">
        <f t="shared" si="6"/>
        <v>2</v>
      </c>
      <c r="L165" s="15">
        <f t="shared" si="7"/>
        <v>0</v>
      </c>
      <c r="M165" s="16">
        <f t="shared" si="8"/>
        <v>2</v>
      </c>
      <c r="S165" s="53">
        <v>2</v>
      </c>
    </row>
    <row r="166" spans="1:34" s="3" customFormat="1" x14ac:dyDescent="0.25">
      <c r="A166" s="19">
        <v>220</v>
      </c>
      <c r="B166" s="31" t="s">
        <v>146</v>
      </c>
      <c r="C166" s="32" t="s">
        <v>148</v>
      </c>
      <c r="D166" s="33" t="s">
        <v>10</v>
      </c>
      <c r="E166" s="29" t="s">
        <v>14</v>
      </c>
      <c r="F166" s="30">
        <v>1</v>
      </c>
      <c r="G166" s="10">
        <v>1</v>
      </c>
      <c r="H166" s="10"/>
      <c r="I166" s="51">
        <v>1</v>
      </c>
      <c r="K166" s="14">
        <f t="shared" si="6"/>
        <v>1</v>
      </c>
      <c r="L166" s="15">
        <f t="shared" si="7"/>
        <v>0</v>
      </c>
      <c r="M166" s="16">
        <f t="shared" si="8"/>
        <v>1</v>
      </c>
      <c r="S166" s="53">
        <v>1</v>
      </c>
    </row>
    <row r="167" spans="1:34" s="3" customFormat="1" x14ac:dyDescent="0.25">
      <c r="A167" s="19">
        <v>221</v>
      </c>
      <c r="B167" s="31" t="s">
        <v>149</v>
      </c>
      <c r="C167" s="32" t="s">
        <v>150</v>
      </c>
      <c r="D167" s="33" t="s">
        <v>10</v>
      </c>
      <c r="E167" s="29" t="s">
        <v>14</v>
      </c>
      <c r="F167" s="30">
        <v>1</v>
      </c>
      <c r="G167" s="10">
        <v>1</v>
      </c>
      <c r="H167" s="10"/>
      <c r="I167" s="51">
        <v>1</v>
      </c>
      <c r="K167" s="14">
        <f t="shared" si="6"/>
        <v>1</v>
      </c>
      <c r="L167" s="15">
        <f t="shared" si="7"/>
        <v>0</v>
      </c>
      <c r="M167" s="16">
        <f t="shared" si="8"/>
        <v>1</v>
      </c>
      <c r="S167" s="53">
        <v>1</v>
      </c>
    </row>
    <row r="168" spans="1:34" s="3" customFormat="1" x14ac:dyDescent="0.25">
      <c r="A168" s="19">
        <v>222</v>
      </c>
      <c r="B168" s="31" t="s">
        <v>151</v>
      </c>
      <c r="C168" s="32" t="s">
        <v>150</v>
      </c>
      <c r="D168" s="33" t="s">
        <v>10</v>
      </c>
      <c r="E168" s="29" t="s">
        <v>13</v>
      </c>
      <c r="F168" s="30">
        <v>2</v>
      </c>
      <c r="G168" s="10">
        <v>2</v>
      </c>
      <c r="H168" s="10">
        <v>2</v>
      </c>
      <c r="I168" s="51">
        <v>0</v>
      </c>
      <c r="K168" s="14">
        <f t="shared" si="6"/>
        <v>0</v>
      </c>
      <c r="L168" s="15">
        <f t="shared" si="7"/>
        <v>0</v>
      </c>
      <c r="M168" s="16">
        <f t="shared" si="8"/>
        <v>0</v>
      </c>
    </row>
    <row r="169" spans="1:34" s="3" customFormat="1" x14ac:dyDescent="0.25">
      <c r="A169" s="19">
        <v>223</v>
      </c>
      <c r="B169" s="31" t="s">
        <v>151</v>
      </c>
      <c r="C169" s="32" t="s">
        <v>152</v>
      </c>
      <c r="D169" s="33" t="s">
        <v>10</v>
      </c>
      <c r="E169" s="29" t="s">
        <v>13</v>
      </c>
      <c r="F169" s="30">
        <v>2</v>
      </c>
      <c r="G169" s="10">
        <v>2</v>
      </c>
      <c r="H169" s="10"/>
      <c r="I169" s="51">
        <v>2</v>
      </c>
      <c r="K169" s="14">
        <f t="shared" si="6"/>
        <v>2</v>
      </c>
      <c r="L169" s="15">
        <f t="shared" si="7"/>
        <v>0</v>
      </c>
      <c r="M169" s="16">
        <f t="shared" si="8"/>
        <v>2</v>
      </c>
      <c r="S169" s="53">
        <v>2</v>
      </c>
    </row>
    <row r="170" spans="1:34" s="3" customFormat="1" x14ac:dyDescent="0.25">
      <c r="A170" s="19">
        <v>224</v>
      </c>
      <c r="B170" s="31" t="s">
        <v>153</v>
      </c>
      <c r="C170" s="32" t="s">
        <v>154</v>
      </c>
      <c r="D170" s="33" t="s">
        <v>10</v>
      </c>
      <c r="E170" s="29" t="s">
        <v>384</v>
      </c>
      <c r="F170" s="30">
        <v>2</v>
      </c>
      <c r="G170" s="10">
        <v>2</v>
      </c>
      <c r="H170" s="10"/>
      <c r="I170" s="51">
        <v>2</v>
      </c>
      <c r="K170" s="14">
        <f t="shared" si="6"/>
        <v>2</v>
      </c>
      <c r="L170" s="15">
        <f t="shared" si="7"/>
        <v>0</v>
      </c>
      <c r="M170" s="16">
        <f t="shared" si="8"/>
        <v>2</v>
      </c>
      <c r="R170" s="53">
        <v>2</v>
      </c>
    </row>
    <row r="171" spans="1:34" s="3" customFormat="1" x14ac:dyDescent="0.25">
      <c r="A171" s="19">
        <v>225</v>
      </c>
      <c r="B171" s="34" t="s">
        <v>153</v>
      </c>
      <c r="C171" s="32" t="s">
        <v>147</v>
      </c>
      <c r="D171" s="33" t="s">
        <v>10</v>
      </c>
      <c r="E171" s="29" t="s">
        <v>384</v>
      </c>
      <c r="F171" s="30">
        <v>8</v>
      </c>
      <c r="G171" s="10">
        <v>8</v>
      </c>
      <c r="H171" s="10"/>
      <c r="I171" s="51">
        <v>8</v>
      </c>
      <c r="K171" s="14">
        <f t="shared" si="6"/>
        <v>8</v>
      </c>
      <c r="L171" s="15">
        <f t="shared" si="7"/>
        <v>0</v>
      </c>
      <c r="M171" s="16">
        <f t="shared" si="8"/>
        <v>8</v>
      </c>
      <c r="N171" s="53">
        <v>8</v>
      </c>
    </row>
    <row r="172" spans="1:34" s="3" customFormat="1" x14ac:dyDescent="0.25">
      <c r="A172" s="19">
        <v>226</v>
      </c>
      <c r="B172" s="31" t="s">
        <v>153</v>
      </c>
      <c r="C172" s="32" t="s">
        <v>152</v>
      </c>
      <c r="D172" s="33" t="s">
        <v>10</v>
      </c>
      <c r="E172" s="29" t="s">
        <v>384</v>
      </c>
      <c r="F172" s="30">
        <v>4</v>
      </c>
      <c r="G172" s="10">
        <v>4</v>
      </c>
      <c r="H172" s="10">
        <v>2</v>
      </c>
      <c r="I172" s="51">
        <v>2</v>
      </c>
      <c r="K172" s="14">
        <f t="shared" si="6"/>
        <v>2</v>
      </c>
      <c r="L172" s="15">
        <f t="shared" si="7"/>
        <v>0</v>
      </c>
      <c r="M172" s="16">
        <f t="shared" si="8"/>
        <v>2</v>
      </c>
      <c r="N172" s="53">
        <v>2</v>
      </c>
    </row>
    <row r="173" spans="1:34" s="3" customFormat="1" x14ac:dyDescent="0.25">
      <c r="A173" s="19">
        <v>227</v>
      </c>
      <c r="B173" s="31" t="s">
        <v>155</v>
      </c>
      <c r="C173" s="32" t="s">
        <v>150</v>
      </c>
      <c r="D173" s="33" t="s">
        <v>10</v>
      </c>
      <c r="E173" s="29" t="s">
        <v>14</v>
      </c>
      <c r="F173" s="30">
        <v>6</v>
      </c>
      <c r="G173" s="10">
        <v>5</v>
      </c>
      <c r="H173" s="10"/>
      <c r="I173" s="51">
        <v>6</v>
      </c>
      <c r="K173" s="14">
        <f t="shared" si="6"/>
        <v>6</v>
      </c>
      <c r="L173" s="15">
        <f t="shared" si="7"/>
        <v>0</v>
      </c>
      <c r="M173" s="16">
        <f t="shared" si="8"/>
        <v>6</v>
      </c>
      <c r="N173" s="53">
        <v>6</v>
      </c>
    </row>
    <row r="174" spans="1:34" s="3" customFormat="1" x14ac:dyDescent="0.25">
      <c r="A174" s="19">
        <v>228</v>
      </c>
      <c r="B174" s="31" t="s">
        <v>155</v>
      </c>
      <c r="C174" s="32" t="s">
        <v>156</v>
      </c>
      <c r="D174" s="33" t="s">
        <v>10</v>
      </c>
      <c r="E174" s="29" t="s">
        <v>14</v>
      </c>
      <c r="F174" s="30">
        <v>3</v>
      </c>
      <c r="G174" s="10">
        <v>3</v>
      </c>
      <c r="H174" s="10"/>
      <c r="I174" s="51">
        <v>3</v>
      </c>
      <c r="K174" s="14">
        <f t="shared" si="6"/>
        <v>3</v>
      </c>
      <c r="L174" s="15">
        <f t="shared" si="7"/>
        <v>0</v>
      </c>
      <c r="M174" s="16">
        <f t="shared" si="8"/>
        <v>3</v>
      </c>
      <c r="AH174" s="53">
        <v>3</v>
      </c>
    </row>
    <row r="175" spans="1:34" s="3" customFormat="1" x14ac:dyDescent="0.25">
      <c r="A175" s="19">
        <v>229</v>
      </c>
      <c r="B175" s="31" t="s">
        <v>157</v>
      </c>
      <c r="C175" s="32" t="s">
        <v>150</v>
      </c>
      <c r="D175" s="33" t="s">
        <v>10</v>
      </c>
      <c r="E175" s="29" t="s">
        <v>14</v>
      </c>
      <c r="F175" s="30">
        <v>10</v>
      </c>
      <c r="G175" s="10">
        <v>8</v>
      </c>
      <c r="H175" s="10"/>
      <c r="I175" s="51">
        <v>10</v>
      </c>
      <c r="K175" s="14">
        <f t="shared" si="6"/>
        <v>10</v>
      </c>
      <c r="L175" s="15">
        <f t="shared" si="7"/>
        <v>0</v>
      </c>
      <c r="M175" s="16">
        <f t="shared" si="8"/>
        <v>10</v>
      </c>
      <c r="N175" s="53">
        <v>10</v>
      </c>
    </row>
    <row r="176" spans="1:34" s="3" customFormat="1" x14ac:dyDescent="0.25">
      <c r="A176" s="19">
        <v>230</v>
      </c>
      <c r="B176" s="31" t="s">
        <v>157</v>
      </c>
      <c r="C176" s="32" t="s">
        <v>156</v>
      </c>
      <c r="D176" s="33" t="s">
        <v>10</v>
      </c>
      <c r="E176" s="29" t="s">
        <v>14</v>
      </c>
      <c r="F176" s="30">
        <v>6</v>
      </c>
      <c r="G176" s="10">
        <v>4</v>
      </c>
      <c r="H176" s="10">
        <v>3</v>
      </c>
      <c r="I176" s="51">
        <v>3</v>
      </c>
      <c r="K176" s="14">
        <f t="shared" si="6"/>
        <v>3</v>
      </c>
      <c r="L176" s="15">
        <f t="shared" si="7"/>
        <v>0</v>
      </c>
      <c r="M176" s="16">
        <f t="shared" si="8"/>
        <v>3</v>
      </c>
      <c r="N176" s="53">
        <v>3</v>
      </c>
    </row>
    <row r="177" spans="1:33" s="3" customFormat="1" x14ac:dyDescent="0.25">
      <c r="A177" s="19">
        <v>231</v>
      </c>
      <c r="B177" s="31" t="s">
        <v>157</v>
      </c>
      <c r="C177" s="32" t="s">
        <v>147</v>
      </c>
      <c r="D177" s="33" t="s">
        <v>10</v>
      </c>
      <c r="E177" s="29" t="s">
        <v>14</v>
      </c>
      <c r="F177" s="30">
        <v>4</v>
      </c>
      <c r="G177" s="10">
        <v>3</v>
      </c>
      <c r="H177" s="10"/>
      <c r="I177" s="51">
        <v>4</v>
      </c>
      <c r="K177" s="14">
        <f t="shared" si="6"/>
        <v>4</v>
      </c>
      <c r="L177" s="15">
        <f t="shared" si="7"/>
        <v>0</v>
      </c>
      <c r="M177" s="16">
        <f t="shared" si="8"/>
        <v>4</v>
      </c>
      <c r="N177" s="53">
        <v>4</v>
      </c>
    </row>
    <row r="178" spans="1:33" s="3" customFormat="1" x14ac:dyDescent="0.25">
      <c r="A178" s="19">
        <v>232</v>
      </c>
      <c r="B178" s="31" t="s">
        <v>157</v>
      </c>
      <c r="C178" s="32" t="s">
        <v>152</v>
      </c>
      <c r="D178" s="33" t="s">
        <v>10</v>
      </c>
      <c r="E178" s="29" t="s">
        <v>14</v>
      </c>
      <c r="F178" s="30">
        <v>4</v>
      </c>
      <c r="G178" s="10">
        <v>1</v>
      </c>
      <c r="H178" s="10">
        <v>1</v>
      </c>
      <c r="I178" s="51">
        <v>3</v>
      </c>
      <c r="K178" s="14">
        <f t="shared" si="6"/>
        <v>3</v>
      </c>
      <c r="L178" s="15">
        <f t="shared" si="7"/>
        <v>0</v>
      </c>
      <c r="M178" s="16">
        <f t="shared" si="8"/>
        <v>3</v>
      </c>
      <c r="N178" s="53">
        <v>3</v>
      </c>
    </row>
    <row r="179" spans="1:33" s="3" customFormat="1" x14ac:dyDescent="0.25">
      <c r="A179" s="19">
        <v>233</v>
      </c>
      <c r="B179" s="31" t="s">
        <v>158</v>
      </c>
      <c r="C179" s="32" t="s">
        <v>159</v>
      </c>
      <c r="D179" s="33" t="s">
        <v>10</v>
      </c>
      <c r="E179" s="29" t="s">
        <v>385</v>
      </c>
      <c r="F179" s="30">
        <v>1</v>
      </c>
      <c r="G179" s="10">
        <v>1</v>
      </c>
      <c r="H179" s="10"/>
      <c r="I179" s="51">
        <v>1</v>
      </c>
      <c r="K179" s="14">
        <f t="shared" si="6"/>
        <v>1</v>
      </c>
      <c r="L179" s="15">
        <f t="shared" si="7"/>
        <v>0</v>
      </c>
      <c r="M179" s="16">
        <f t="shared" si="8"/>
        <v>1</v>
      </c>
      <c r="N179" s="53">
        <v>1</v>
      </c>
    </row>
    <row r="180" spans="1:33" s="3" customFormat="1" x14ac:dyDescent="0.25">
      <c r="A180" s="19">
        <v>234</v>
      </c>
      <c r="B180" s="31" t="s">
        <v>158</v>
      </c>
      <c r="C180" s="32" t="s">
        <v>156</v>
      </c>
      <c r="D180" s="33" t="s">
        <v>10</v>
      </c>
      <c r="E180" s="29" t="s">
        <v>14</v>
      </c>
      <c r="F180" s="30">
        <v>5</v>
      </c>
      <c r="G180" s="10">
        <v>5</v>
      </c>
      <c r="H180" s="10">
        <v>1</v>
      </c>
      <c r="I180" s="51">
        <v>4</v>
      </c>
      <c r="K180" s="14">
        <f t="shared" si="6"/>
        <v>4</v>
      </c>
      <c r="L180" s="15">
        <f t="shared" si="7"/>
        <v>0</v>
      </c>
      <c r="M180" s="16">
        <f t="shared" si="8"/>
        <v>4</v>
      </c>
      <c r="N180" s="53">
        <v>4</v>
      </c>
    </row>
    <row r="181" spans="1:33" s="3" customFormat="1" x14ac:dyDescent="0.25">
      <c r="A181" s="19">
        <v>235</v>
      </c>
      <c r="B181" s="31" t="s">
        <v>160</v>
      </c>
      <c r="C181" s="32" t="s">
        <v>161</v>
      </c>
      <c r="D181" s="33" t="s">
        <v>10</v>
      </c>
      <c r="E181" s="29" t="s">
        <v>14</v>
      </c>
      <c r="F181" s="30">
        <v>1</v>
      </c>
      <c r="G181" s="10">
        <v>1</v>
      </c>
      <c r="H181" s="10">
        <v>1</v>
      </c>
      <c r="I181" s="51">
        <v>0</v>
      </c>
      <c r="K181" s="14">
        <f t="shared" si="6"/>
        <v>0</v>
      </c>
      <c r="L181" s="15">
        <f t="shared" si="7"/>
        <v>0</v>
      </c>
      <c r="M181" s="16">
        <f t="shared" si="8"/>
        <v>0</v>
      </c>
    </row>
    <row r="182" spans="1:33" s="3" customFormat="1" x14ac:dyDescent="0.25">
      <c r="A182" s="19">
        <v>236</v>
      </c>
      <c r="B182" s="31" t="s">
        <v>160</v>
      </c>
      <c r="C182" s="32" t="s">
        <v>162</v>
      </c>
      <c r="D182" s="33" t="s">
        <v>10</v>
      </c>
      <c r="E182" s="29" t="s">
        <v>14</v>
      </c>
      <c r="F182" s="30">
        <v>5</v>
      </c>
      <c r="G182" s="10">
        <v>4</v>
      </c>
      <c r="H182" s="10"/>
      <c r="I182" s="51">
        <v>5</v>
      </c>
      <c r="K182" s="14">
        <f t="shared" si="6"/>
        <v>5</v>
      </c>
      <c r="L182" s="15">
        <f t="shared" si="7"/>
        <v>0</v>
      </c>
      <c r="M182" s="16">
        <f t="shared" si="8"/>
        <v>5</v>
      </c>
      <c r="S182" s="53">
        <v>5</v>
      </c>
    </row>
    <row r="183" spans="1:33" s="3" customFormat="1" x14ac:dyDescent="0.25">
      <c r="A183" s="60" t="s">
        <v>163</v>
      </c>
      <c r="B183" s="31" t="s">
        <v>160</v>
      </c>
      <c r="C183" s="32" t="s">
        <v>164</v>
      </c>
      <c r="D183" s="33" t="s">
        <v>10</v>
      </c>
      <c r="E183" s="29" t="s">
        <v>14</v>
      </c>
      <c r="F183" s="30">
        <v>1</v>
      </c>
      <c r="G183" s="10">
        <v>0</v>
      </c>
      <c r="H183" s="10"/>
      <c r="I183" s="51">
        <v>1</v>
      </c>
      <c r="K183" s="14">
        <f t="shared" si="6"/>
        <v>1</v>
      </c>
      <c r="L183" s="15">
        <f t="shared" si="7"/>
        <v>0</v>
      </c>
      <c r="M183" s="16">
        <f t="shared" si="8"/>
        <v>1</v>
      </c>
      <c r="S183" s="53">
        <v>1</v>
      </c>
    </row>
    <row r="184" spans="1:33" s="3" customFormat="1" x14ac:dyDescent="0.25">
      <c r="A184" s="19">
        <v>237</v>
      </c>
      <c r="B184" s="31" t="s">
        <v>165</v>
      </c>
      <c r="C184" s="32" t="s">
        <v>166</v>
      </c>
      <c r="D184" s="33" t="s">
        <v>10</v>
      </c>
      <c r="E184" s="29" t="s">
        <v>14</v>
      </c>
      <c r="F184" s="30">
        <v>1</v>
      </c>
      <c r="G184" s="10">
        <v>1</v>
      </c>
      <c r="H184" s="10"/>
      <c r="I184" s="51">
        <v>1</v>
      </c>
      <c r="K184" s="14">
        <f t="shared" si="6"/>
        <v>1</v>
      </c>
      <c r="L184" s="15">
        <f t="shared" si="7"/>
        <v>0</v>
      </c>
      <c r="M184" s="16">
        <f t="shared" si="8"/>
        <v>1</v>
      </c>
      <c r="S184" s="53">
        <v>1</v>
      </c>
    </row>
    <row r="185" spans="1:33" s="3" customFormat="1" x14ac:dyDescent="0.25">
      <c r="A185" s="19">
        <v>238</v>
      </c>
      <c r="B185" s="31" t="s">
        <v>167</v>
      </c>
      <c r="C185" s="32" t="s">
        <v>161</v>
      </c>
      <c r="D185" s="33" t="s">
        <v>10</v>
      </c>
      <c r="E185" s="29" t="s">
        <v>13</v>
      </c>
      <c r="F185" s="30">
        <v>3</v>
      </c>
      <c r="G185" s="10">
        <v>2</v>
      </c>
      <c r="H185" s="10"/>
      <c r="I185" s="51">
        <v>3</v>
      </c>
      <c r="K185" s="14">
        <f t="shared" si="6"/>
        <v>3</v>
      </c>
      <c r="L185" s="15">
        <f t="shared" si="7"/>
        <v>0</v>
      </c>
      <c r="M185" s="16">
        <f t="shared" si="8"/>
        <v>3</v>
      </c>
      <c r="S185" s="53">
        <v>3</v>
      </c>
    </row>
    <row r="186" spans="1:33" s="3" customFormat="1" x14ac:dyDescent="0.25">
      <c r="A186" s="19">
        <v>239</v>
      </c>
      <c r="B186" s="31" t="s">
        <v>167</v>
      </c>
      <c r="C186" s="32" t="s">
        <v>166</v>
      </c>
      <c r="D186" s="33" t="s">
        <v>10</v>
      </c>
      <c r="E186" s="29" t="s">
        <v>13</v>
      </c>
      <c r="F186" s="30">
        <v>2</v>
      </c>
      <c r="G186" s="10">
        <v>2</v>
      </c>
      <c r="H186" s="10"/>
      <c r="I186" s="51">
        <v>2</v>
      </c>
      <c r="K186" s="14">
        <f t="shared" si="6"/>
        <v>2</v>
      </c>
      <c r="L186" s="15">
        <f t="shared" si="7"/>
        <v>0</v>
      </c>
      <c r="M186" s="16">
        <f t="shared" si="8"/>
        <v>2</v>
      </c>
      <c r="S186" s="53">
        <v>2</v>
      </c>
    </row>
    <row r="187" spans="1:33" s="3" customFormat="1" x14ac:dyDescent="0.25">
      <c r="A187" s="19">
        <v>240</v>
      </c>
      <c r="B187" s="31" t="s">
        <v>167</v>
      </c>
      <c r="C187" s="32" t="s">
        <v>162</v>
      </c>
      <c r="D187" s="33" t="s">
        <v>10</v>
      </c>
      <c r="E187" s="29" t="s">
        <v>13</v>
      </c>
      <c r="F187" s="30">
        <v>2</v>
      </c>
      <c r="G187" s="10">
        <v>2</v>
      </c>
      <c r="H187" s="10"/>
      <c r="I187" s="51">
        <v>2</v>
      </c>
      <c r="K187" s="14">
        <f t="shared" si="6"/>
        <v>2</v>
      </c>
      <c r="L187" s="15">
        <f t="shared" si="7"/>
        <v>0</v>
      </c>
      <c r="M187" s="16">
        <f t="shared" si="8"/>
        <v>2</v>
      </c>
      <c r="S187" s="53">
        <v>2</v>
      </c>
    </row>
    <row r="188" spans="1:33" s="3" customFormat="1" x14ac:dyDescent="0.25">
      <c r="A188" s="19">
        <v>241</v>
      </c>
      <c r="B188" s="31" t="s">
        <v>168</v>
      </c>
      <c r="C188" s="32" t="s">
        <v>169</v>
      </c>
      <c r="D188" s="33" t="s">
        <v>10</v>
      </c>
      <c r="E188" s="29" t="s">
        <v>385</v>
      </c>
      <c r="F188" s="30">
        <v>2</v>
      </c>
      <c r="G188" s="10">
        <v>2</v>
      </c>
      <c r="H188" s="10"/>
      <c r="I188" s="51">
        <v>2</v>
      </c>
      <c r="K188" s="14">
        <f t="shared" si="6"/>
        <v>2</v>
      </c>
      <c r="L188" s="15">
        <f t="shared" si="7"/>
        <v>0</v>
      </c>
      <c r="M188" s="16">
        <f t="shared" si="8"/>
        <v>2</v>
      </c>
      <c r="Y188" s="53">
        <v>2</v>
      </c>
    </row>
    <row r="189" spans="1:33" s="3" customFormat="1" x14ac:dyDescent="0.25">
      <c r="A189" s="19">
        <v>242</v>
      </c>
      <c r="B189" s="31" t="s">
        <v>168</v>
      </c>
      <c r="C189" s="32" t="s">
        <v>170</v>
      </c>
      <c r="D189" s="33" t="s">
        <v>10</v>
      </c>
      <c r="E189" s="29" t="s">
        <v>385</v>
      </c>
      <c r="F189" s="30">
        <v>2</v>
      </c>
      <c r="G189" s="10">
        <v>2</v>
      </c>
      <c r="H189" s="10"/>
      <c r="I189" s="51">
        <v>2</v>
      </c>
      <c r="K189" s="14">
        <f t="shared" si="6"/>
        <v>2</v>
      </c>
      <c r="L189" s="15">
        <f t="shared" si="7"/>
        <v>0</v>
      </c>
      <c r="M189" s="16">
        <f t="shared" si="8"/>
        <v>2</v>
      </c>
      <c r="Y189" s="53">
        <v>2</v>
      </c>
    </row>
    <row r="190" spans="1:33" s="3" customFormat="1" x14ac:dyDescent="0.25">
      <c r="A190" s="19">
        <v>243</v>
      </c>
      <c r="B190" s="31" t="s">
        <v>168</v>
      </c>
      <c r="C190" s="32" t="s">
        <v>171</v>
      </c>
      <c r="D190" s="33" t="s">
        <v>10</v>
      </c>
      <c r="E190" s="29" t="s">
        <v>384</v>
      </c>
      <c r="F190" s="30">
        <v>2</v>
      </c>
      <c r="G190" s="10">
        <v>2</v>
      </c>
      <c r="H190" s="10"/>
      <c r="I190" s="51">
        <v>2</v>
      </c>
      <c r="K190" s="14">
        <f t="shared" si="6"/>
        <v>2</v>
      </c>
      <c r="L190" s="15">
        <f t="shared" si="7"/>
        <v>0</v>
      </c>
      <c r="M190" s="16">
        <f t="shared" si="8"/>
        <v>2</v>
      </c>
      <c r="N190" s="53">
        <v>2</v>
      </c>
    </row>
    <row r="191" spans="1:33" s="3" customFormat="1" x14ac:dyDescent="0.25">
      <c r="A191" s="19">
        <v>244</v>
      </c>
      <c r="B191" s="31" t="s">
        <v>168</v>
      </c>
      <c r="C191" s="32" t="s">
        <v>162</v>
      </c>
      <c r="D191" s="33" t="s">
        <v>10</v>
      </c>
      <c r="E191" s="29" t="s">
        <v>384</v>
      </c>
      <c r="F191" s="30">
        <v>23</v>
      </c>
      <c r="G191" s="10">
        <v>23</v>
      </c>
      <c r="H191" s="10">
        <v>5</v>
      </c>
      <c r="I191" s="51">
        <v>18</v>
      </c>
      <c r="J191" s="3">
        <v>3</v>
      </c>
      <c r="K191" s="14">
        <f t="shared" si="6"/>
        <v>21</v>
      </c>
      <c r="L191" s="15">
        <f t="shared" si="7"/>
        <v>0</v>
      </c>
      <c r="M191" s="16">
        <f t="shared" si="8"/>
        <v>21</v>
      </c>
      <c r="R191" s="53">
        <v>18</v>
      </c>
      <c r="AG191" s="53">
        <v>3</v>
      </c>
    </row>
    <row r="192" spans="1:33" s="3" customFormat="1" x14ac:dyDescent="0.25">
      <c r="A192" s="19">
        <v>245</v>
      </c>
      <c r="B192" s="31" t="s">
        <v>168</v>
      </c>
      <c r="C192" s="32" t="s">
        <v>172</v>
      </c>
      <c r="D192" s="33" t="s">
        <v>10</v>
      </c>
      <c r="E192" s="29" t="s">
        <v>384</v>
      </c>
      <c r="F192" s="30">
        <v>2</v>
      </c>
      <c r="G192" s="10">
        <v>2</v>
      </c>
      <c r="H192" s="10"/>
      <c r="I192" s="51">
        <v>2</v>
      </c>
      <c r="K192" s="14">
        <f t="shared" si="6"/>
        <v>2</v>
      </c>
      <c r="L192" s="15">
        <f t="shared" si="7"/>
        <v>0</v>
      </c>
      <c r="M192" s="16">
        <f t="shared" si="8"/>
        <v>2</v>
      </c>
      <c r="N192" s="53">
        <v>2</v>
      </c>
    </row>
    <row r="193" spans="1:33" s="3" customFormat="1" x14ac:dyDescent="0.25">
      <c r="A193" s="19">
        <v>246</v>
      </c>
      <c r="B193" s="31" t="s">
        <v>168</v>
      </c>
      <c r="C193" s="32" t="s">
        <v>164</v>
      </c>
      <c r="D193" s="33" t="s">
        <v>10</v>
      </c>
      <c r="E193" s="29" t="s">
        <v>384</v>
      </c>
      <c r="F193" s="30">
        <v>2</v>
      </c>
      <c r="G193" s="10">
        <v>2</v>
      </c>
      <c r="H193" s="10">
        <v>2</v>
      </c>
      <c r="I193" s="51">
        <v>0</v>
      </c>
      <c r="K193" s="14">
        <f t="shared" si="6"/>
        <v>0</v>
      </c>
      <c r="L193" s="15">
        <f t="shared" si="7"/>
        <v>0</v>
      </c>
      <c r="M193" s="16">
        <f t="shared" si="8"/>
        <v>0</v>
      </c>
    </row>
    <row r="194" spans="1:33" s="3" customFormat="1" x14ac:dyDescent="0.25">
      <c r="A194" s="19">
        <v>247</v>
      </c>
      <c r="B194" s="31" t="s">
        <v>168</v>
      </c>
      <c r="C194" s="32" t="s">
        <v>173</v>
      </c>
      <c r="D194" s="33" t="s">
        <v>10</v>
      </c>
      <c r="E194" s="29" t="s">
        <v>384</v>
      </c>
      <c r="F194" s="30">
        <v>8</v>
      </c>
      <c r="G194" s="10">
        <v>8</v>
      </c>
      <c r="H194" s="10"/>
      <c r="I194" s="51">
        <v>8</v>
      </c>
      <c r="K194" s="14">
        <f t="shared" si="6"/>
        <v>8</v>
      </c>
      <c r="L194" s="15">
        <f t="shared" si="7"/>
        <v>0</v>
      </c>
      <c r="M194" s="16">
        <f t="shared" si="8"/>
        <v>8</v>
      </c>
      <c r="R194" s="53">
        <v>8</v>
      </c>
    </row>
    <row r="195" spans="1:33" s="3" customFormat="1" x14ac:dyDescent="0.25">
      <c r="A195" s="19">
        <v>248</v>
      </c>
      <c r="B195" s="31" t="s">
        <v>168</v>
      </c>
      <c r="C195" s="32" t="s">
        <v>174</v>
      </c>
      <c r="D195" s="33" t="s">
        <v>10</v>
      </c>
      <c r="E195" s="29" t="s">
        <v>384</v>
      </c>
      <c r="F195" s="30">
        <v>6</v>
      </c>
      <c r="G195" s="10">
        <v>6</v>
      </c>
      <c r="H195" s="10"/>
      <c r="I195" s="51">
        <v>6</v>
      </c>
      <c r="K195" s="14">
        <f t="shared" si="6"/>
        <v>6</v>
      </c>
      <c r="L195" s="15">
        <f t="shared" si="7"/>
        <v>0</v>
      </c>
      <c r="M195" s="16">
        <f t="shared" si="8"/>
        <v>6</v>
      </c>
      <c r="N195" s="53">
        <v>2</v>
      </c>
      <c r="R195" s="53">
        <v>4</v>
      </c>
    </row>
    <row r="196" spans="1:33" s="3" customFormat="1" x14ac:dyDescent="0.25">
      <c r="A196" s="19">
        <v>249</v>
      </c>
      <c r="B196" s="31" t="s">
        <v>175</v>
      </c>
      <c r="C196" s="32" t="s">
        <v>161</v>
      </c>
      <c r="D196" s="33" t="s">
        <v>10</v>
      </c>
      <c r="E196" s="29" t="s">
        <v>14</v>
      </c>
      <c r="F196" s="30">
        <v>3</v>
      </c>
      <c r="G196" s="10">
        <v>2</v>
      </c>
      <c r="H196" s="10">
        <v>1</v>
      </c>
      <c r="I196" s="51">
        <v>2</v>
      </c>
      <c r="K196" s="14">
        <f t="shared" ref="K196:K247" si="9">SUM(I196:J196)</f>
        <v>2</v>
      </c>
      <c r="L196" s="15">
        <f t="shared" si="7"/>
        <v>0</v>
      </c>
      <c r="M196" s="16">
        <f t="shared" si="8"/>
        <v>2</v>
      </c>
      <c r="N196" s="53">
        <v>2</v>
      </c>
    </row>
    <row r="197" spans="1:33" s="3" customFormat="1" x14ac:dyDescent="0.25">
      <c r="A197" s="19">
        <v>250</v>
      </c>
      <c r="B197" s="31" t="s">
        <v>175</v>
      </c>
      <c r="C197" s="32" t="s">
        <v>166</v>
      </c>
      <c r="D197" s="33" t="s">
        <v>10</v>
      </c>
      <c r="E197" s="29" t="s">
        <v>14</v>
      </c>
      <c r="F197" s="30">
        <v>37</v>
      </c>
      <c r="G197" s="10">
        <v>37</v>
      </c>
      <c r="H197" s="10"/>
      <c r="I197" s="51">
        <v>37</v>
      </c>
      <c r="K197" s="14">
        <f t="shared" si="9"/>
        <v>37</v>
      </c>
      <c r="L197" s="15">
        <f t="shared" ref="L197:L260" si="10">+M197-K197</f>
        <v>0</v>
      </c>
      <c r="M197" s="16">
        <f t="shared" ref="M197:M260" si="11">SUM(N197:EA197)</f>
        <v>37</v>
      </c>
      <c r="AD197" s="53">
        <v>26</v>
      </c>
      <c r="AG197" s="53">
        <v>11</v>
      </c>
    </row>
    <row r="198" spans="1:33" s="3" customFormat="1" x14ac:dyDescent="0.25">
      <c r="A198" s="19">
        <v>251</v>
      </c>
      <c r="B198" s="31" t="s">
        <v>176</v>
      </c>
      <c r="C198" s="32" t="s">
        <v>161</v>
      </c>
      <c r="D198" s="33" t="s">
        <v>10</v>
      </c>
      <c r="E198" s="29" t="s">
        <v>14</v>
      </c>
      <c r="F198" s="30">
        <v>14</v>
      </c>
      <c r="G198" s="10">
        <v>14</v>
      </c>
      <c r="H198" s="10">
        <v>2</v>
      </c>
      <c r="I198" s="51">
        <v>12</v>
      </c>
      <c r="J198" s="3">
        <v>2</v>
      </c>
      <c r="K198" s="14">
        <f t="shared" si="9"/>
        <v>14</v>
      </c>
      <c r="L198" s="15">
        <f t="shared" si="10"/>
        <v>0</v>
      </c>
      <c r="M198" s="16">
        <f t="shared" si="11"/>
        <v>14</v>
      </c>
      <c r="N198" s="53">
        <v>9</v>
      </c>
      <c r="AA198" s="53">
        <v>3</v>
      </c>
      <c r="AG198" s="53">
        <v>2</v>
      </c>
    </row>
    <row r="199" spans="1:33" s="3" customFormat="1" x14ac:dyDescent="0.25">
      <c r="A199" s="19">
        <v>252</v>
      </c>
      <c r="B199" s="31" t="s">
        <v>176</v>
      </c>
      <c r="C199" s="32" t="s">
        <v>177</v>
      </c>
      <c r="D199" s="33" t="s">
        <v>10</v>
      </c>
      <c r="E199" s="29" t="s">
        <v>14</v>
      </c>
      <c r="F199" s="30">
        <v>2</v>
      </c>
      <c r="G199" s="10">
        <v>2</v>
      </c>
      <c r="H199" s="10"/>
      <c r="I199" s="51">
        <v>2</v>
      </c>
      <c r="K199" s="14">
        <f t="shared" si="9"/>
        <v>2</v>
      </c>
      <c r="L199" s="15">
        <f t="shared" si="10"/>
        <v>0</v>
      </c>
      <c r="M199" s="16">
        <f t="shared" si="11"/>
        <v>2</v>
      </c>
      <c r="N199" s="53">
        <v>2</v>
      </c>
    </row>
    <row r="200" spans="1:33" s="3" customFormat="1" x14ac:dyDescent="0.25">
      <c r="A200" s="19">
        <v>253</v>
      </c>
      <c r="B200" s="31" t="s">
        <v>176</v>
      </c>
      <c r="C200" s="32" t="s">
        <v>166</v>
      </c>
      <c r="D200" s="33" t="s">
        <v>10</v>
      </c>
      <c r="E200" s="29" t="s">
        <v>14</v>
      </c>
      <c r="F200" s="30">
        <v>7</v>
      </c>
      <c r="G200" s="10">
        <v>6</v>
      </c>
      <c r="H200" s="10">
        <v>2</v>
      </c>
      <c r="I200" s="51">
        <v>5</v>
      </c>
      <c r="K200" s="14">
        <f t="shared" si="9"/>
        <v>5</v>
      </c>
      <c r="L200" s="15">
        <f t="shared" si="10"/>
        <v>0</v>
      </c>
      <c r="M200" s="16">
        <f t="shared" si="11"/>
        <v>5</v>
      </c>
      <c r="N200" s="53">
        <v>5</v>
      </c>
    </row>
    <row r="201" spans="1:33" s="3" customFormat="1" x14ac:dyDescent="0.25">
      <c r="A201" s="19">
        <v>254</v>
      </c>
      <c r="B201" s="31" t="s">
        <v>176</v>
      </c>
      <c r="C201" s="32" t="s">
        <v>162</v>
      </c>
      <c r="D201" s="33" t="s">
        <v>10</v>
      </c>
      <c r="E201" s="29" t="s">
        <v>14</v>
      </c>
      <c r="F201" s="30">
        <v>7</v>
      </c>
      <c r="G201" s="10">
        <v>7</v>
      </c>
      <c r="H201" s="10"/>
      <c r="I201" s="51">
        <v>7</v>
      </c>
      <c r="J201" s="3">
        <v>3</v>
      </c>
      <c r="K201" s="14">
        <f t="shared" si="9"/>
        <v>10</v>
      </c>
      <c r="L201" s="15">
        <f t="shared" si="10"/>
        <v>0</v>
      </c>
      <c r="M201" s="16">
        <f t="shared" si="11"/>
        <v>10</v>
      </c>
      <c r="N201" s="53">
        <v>7</v>
      </c>
      <c r="AG201" s="53">
        <v>3</v>
      </c>
    </row>
    <row r="202" spans="1:33" s="3" customFormat="1" x14ac:dyDescent="0.25">
      <c r="A202" s="19">
        <v>255</v>
      </c>
      <c r="B202" s="31" t="s">
        <v>176</v>
      </c>
      <c r="C202" s="32" t="s">
        <v>164</v>
      </c>
      <c r="D202" s="33" t="s">
        <v>10</v>
      </c>
      <c r="E202" s="29" t="s">
        <v>14</v>
      </c>
      <c r="F202" s="30">
        <v>2</v>
      </c>
      <c r="G202" s="10">
        <v>2</v>
      </c>
      <c r="H202" s="10"/>
      <c r="I202" s="51">
        <v>2</v>
      </c>
      <c r="K202" s="14">
        <f t="shared" si="9"/>
        <v>2</v>
      </c>
      <c r="L202" s="15">
        <f t="shared" si="10"/>
        <v>0</v>
      </c>
      <c r="M202" s="16">
        <f t="shared" si="11"/>
        <v>2</v>
      </c>
      <c r="N202" s="53">
        <v>2</v>
      </c>
    </row>
    <row r="203" spans="1:33" s="3" customFormat="1" x14ac:dyDescent="0.25">
      <c r="A203" s="19">
        <v>256</v>
      </c>
      <c r="B203" s="31" t="s">
        <v>176</v>
      </c>
      <c r="C203" s="32" t="s">
        <v>178</v>
      </c>
      <c r="D203" s="33" t="s">
        <v>10</v>
      </c>
      <c r="E203" s="29" t="s">
        <v>14</v>
      </c>
      <c r="F203" s="30">
        <v>5</v>
      </c>
      <c r="G203" s="10">
        <v>5</v>
      </c>
      <c r="H203" s="10"/>
      <c r="I203" s="51">
        <v>5</v>
      </c>
      <c r="K203" s="14">
        <f t="shared" si="9"/>
        <v>5</v>
      </c>
      <c r="L203" s="15">
        <f t="shared" si="10"/>
        <v>0</v>
      </c>
      <c r="M203" s="16">
        <f t="shared" si="11"/>
        <v>5</v>
      </c>
      <c r="N203" s="53">
        <v>4</v>
      </c>
      <c r="U203" s="53">
        <v>1</v>
      </c>
    </row>
    <row r="204" spans="1:33" s="3" customFormat="1" x14ac:dyDescent="0.25">
      <c r="A204" s="19">
        <v>257</v>
      </c>
      <c r="B204" s="31" t="s">
        <v>179</v>
      </c>
      <c r="C204" s="32" t="s">
        <v>166</v>
      </c>
      <c r="D204" s="33" t="s">
        <v>10</v>
      </c>
      <c r="E204" s="29" t="s">
        <v>14</v>
      </c>
      <c r="F204" s="30">
        <v>6</v>
      </c>
      <c r="G204" s="10">
        <v>6</v>
      </c>
      <c r="H204" s="10"/>
      <c r="I204" s="51">
        <v>6</v>
      </c>
      <c r="K204" s="14">
        <f t="shared" si="9"/>
        <v>6</v>
      </c>
      <c r="L204" s="15">
        <f t="shared" si="10"/>
        <v>0</v>
      </c>
      <c r="M204" s="16">
        <f t="shared" si="11"/>
        <v>6</v>
      </c>
      <c r="N204" s="54"/>
      <c r="AA204" s="53">
        <v>6</v>
      </c>
    </row>
    <row r="205" spans="1:33" s="3" customFormat="1" x14ac:dyDescent="0.25">
      <c r="A205" s="19">
        <v>258</v>
      </c>
      <c r="B205" s="31" t="s">
        <v>179</v>
      </c>
      <c r="C205" s="32" t="s">
        <v>178</v>
      </c>
      <c r="D205" s="33" t="s">
        <v>10</v>
      </c>
      <c r="E205" s="29" t="s">
        <v>14</v>
      </c>
      <c r="F205" s="30">
        <v>1</v>
      </c>
      <c r="G205" s="10">
        <v>1</v>
      </c>
      <c r="H205" s="10"/>
      <c r="I205" s="51">
        <v>1</v>
      </c>
      <c r="K205" s="14">
        <f t="shared" si="9"/>
        <v>1</v>
      </c>
      <c r="L205" s="15">
        <f t="shared" si="10"/>
        <v>0</v>
      </c>
      <c r="M205" s="16">
        <f t="shared" si="11"/>
        <v>1</v>
      </c>
      <c r="N205" s="54">
        <v>1</v>
      </c>
    </row>
    <row r="206" spans="1:33" s="3" customFormat="1" x14ac:dyDescent="0.25">
      <c r="A206" s="19">
        <v>259</v>
      </c>
      <c r="B206" s="31" t="s">
        <v>180</v>
      </c>
      <c r="C206" s="32" t="s">
        <v>181</v>
      </c>
      <c r="D206" s="33" t="s">
        <v>10</v>
      </c>
      <c r="E206" s="29" t="s">
        <v>15</v>
      </c>
      <c r="F206" s="30">
        <v>8</v>
      </c>
      <c r="G206" s="10">
        <v>8</v>
      </c>
      <c r="H206" s="10"/>
      <c r="I206" s="51">
        <v>8</v>
      </c>
      <c r="K206" s="14">
        <f t="shared" si="9"/>
        <v>8</v>
      </c>
      <c r="L206" s="15">
        <f t="shared" si="10"/>
        <v>0</v>
      </c>
      <c r="M206" s="16">
        <f t="shared" si="11"/>
        <v>8</v>
      </c>
      <c r="AF206" s="53">
        <v>8</v>
      </c>
    </row>
    <row r="207" spans="1:33" s="3" customFormat="1" x14ac:dyDescent="0.25">
      <c r="A207" s="19">
        <v>260</v>
      </c>
      <c r="B207" s="31" t="s">
        <v>180</v>
      </c>
      <c r="C207" s="32" t="s">
        <v>182</v>
      </c>
      <c r="D207" s="33" t="s">
        <v>10</v>
      </c>
      <c r="E207" s="29" t="s">
        <v>15</v>
      </c>
      <c r="F207" s="30">
        <v>4</v>
      </c>
      <c r="G207" s="10">
        <v>4</v>
      </c>
      <c r="H207" s="10"/>
      <c r="I207" s="51">
        <v>4</v>
      </c>
      <c r="K207" s="14">
        <f t="shared" si="9"/>
        <v>4</v>
      </c>
      <c r="L207" s="15">
        <f t="shared" si="10"/>
        <v>0</v>
      </c>
      <c r="M207" s="16">
        <f t="shared" si="11"/>
        <v>4</v>
      </c>
      <c r="AF207" s="53">
        <v>4</v>
      </c>
    </row>
    <row r="208" spans="1:33" s="3" customFormat="1" x14ac:dyDescent="0.25">
      <c r="A208" s="19">
        <v>261</v>
      </c>
      <c r="B208" s="31" t="s">
        <v>180</v>
      </c>
      <c r="C208" s="32" t="s">
        <v>183</v>
      </c>
      <c r="D208" s="33" t="s">
        <v>10</v>
      </c>
      <c r="E208" s="29" t="s">
        <v>15</v>
      </c>
      <c r="F208" s="30">
        <v>1</v>
      </c>
      <c r="G208" s="10">
        <v>1</v>
      </c>
      <c r="H208" s="10"/>
      <c r="I208" s="51">
        <v>1</v>
      </c>
      <c r="K208" s="14">
        <f t="shared" si="9"/>
        <v>1</v>
      </c>
      <c r="L208" s="15">
        <f t="shared" si="10"/>
        <v>0</v>
      </c>
      <c r="M208" s="16">
        <f t="shared" si="11"/>
        <v>1</v>
      </c>
      <c r="W208" s="53">
        <v>1</v>
      </c>
    </row>
    <row r="209" spans="1:25" s="3" customFormat="1" x14ac:dyDescent="0.25">
      <c r="A209" s="19">
        <v>262</v>
      </c>
      <c r="B209" s="31" t="s">
        <v>180</v>
      </c>
      <c r="C209" s="32" t="s">
        <v>145</v>
      </c>
      <c r="D209" s="33" t="s">
        <v>10</v>
      </c>
      <c r="E209" s="29" t="s">
        <v>15</v>
      </c>
      <c r="F209" s="30">
        <v>11</v>
      </c>
      <c r="G209" s="10">
        <v>12</v>
      </c>
      <c r="H209" s="10"/>
      <c r="I209" s="51">
        <v>12</v>
      </c>
      <c r="K209" s="14">
        <f t="shared" si="9"/>
        <v>12</v>
      </c>
      <c r="L209" s="15">
        <f t="shared" si="10"/>
        <v>0</v>
      </c>
      <c r="M209" s="16">
        <f t="shared" si="11"/>
        <v>12</v>
      </c>
      <c r="V209" s="53">
        <v>12</v>
      </c>
    </row>
    <row r="210" spans="1:25" s="3" customFormat="1" x14ac:dyDescent="0.25">
      <c r="A210" s="19">
        <v>263</v>
      </c>
      <c r="B210" s="31" t="s">
        <v>184</v>
      </c>
      <c r="C210" s="32" t="s">
        <v>185</v>
      </c>
      <c r="D210" s="33" t="s">
        <v>10</v>
      </c>
      <c r="E210" s="29" t="s">
        <v>13</v>
      </c>
      <c r="F210" s="30">
        <v>1</v>
      </c>
      <c r="G210" s="10">
        <v>1</v>
      </c>
      <c r="H210" s="10"/>
      <c r="I210" s="51">
        <v>1</v>
      </c>
      <c r="K210" s="14">
        <f t="shared" si="9"/>
        <v>1</v>
      </c>
      <c r="L210" s="15">
        <f t="shared" si="10"/>
        <v>0</v>
      </c>
      <c r="M210" s="16">
        <f t="shared" si="11"/>
        <v>1</v>
      </c>
      <c r="Y210" s="53">
        <v>1</v>
      </c>
    </row>
    <row r="211" spans="1:25" s="3" customFormat="1" x14ac:dyDescent="0.25">
      <c r="A211" s="19">
        <v>264</v>
      </c>
      <c r="B211" s="31" t="s">
        <v>184</v>
      </c>
      <c r="C211" s="32" t="s">
        <v>186</v>
      </c>
      <c r="D211" s="33" t="s">
        <v>10</v>
      </c>
      <c r="E211" s="29" t="s">
        <v>13</v>
      </c>
      <c r="F211" s="30">
        <v>14</v>
      </c>
      <c r="G211" s="10">
        <v>14</v>
      </c>
      <c r="H211" s="10"/>
      <c r="I211" s="51">
        <v>14</v>
      </c>
      <c r="K211" s="14">
        <f t="shared" si="9"/>
        <v>14</v>
      </c>
      <c r="L211" s="15">
        <f t="shared" si="10"/>
        <v>0</v>
      </c>
      <c r="M211" s="16">
        <f t="shared" si="11"/>
        <v>14</v>
      </c>
      <c r="Y211" s="53">
        <v>14</v>
      </c>
    </row>
    <row r="212" spans="1:25" s="3" customFormat="1" x14ac:dyDescent="0.25">
      <c r="A212" s="19">
        <v>265</v>
      </c>
      <c r="B212" s="34" t="s">
        <v>184</v>
      </c>
      <c r="C212" s="32" t="s">
        <v>187</v>
      </c>
      <c r="D212" s="33"/>
      <c r="E212" s="29" t="s">
        <v>13</v>
      </c>
      <c r="F212" s="30">
        <v>4</v>
      </c>
      <c r="G212" s="10">
        <v>4</v>
      </c>
      <c r="H212" s="10"/>
      <c r="I212" s="51">
        <v>4</v>
      </c>
      <c r="K212" s="14">
        <f t="shared" si="9"/>
        <v>4</v>
      </c>
      <c r="L212" s="15">
        <f t="shared" si="10"/>
        <v>0</v>
      </c>
      <c r="M212" s="16">
        <f t="shared" si="11"/>
        <v>4</v>
      </c>
      <c r="V212" s="53">
        <v>4</v>
      </c>
    </row>
    <row r="213" spans="1:25" s="3" customFormat="1" x14ac:dyDescent="0.25">
      <c r="A213" s="19">
        <v>266</v>
      </c>
      <c r="B213" s="31" t="s">
        <v>188</v>
      </c>
      <c r="C213" s="32" t="s">
        <v>186</v>
      </c>
      <c r="D213" s="33" t="s">
        <v>10</v>
      </c>
      <c r="E213" s="29" t="s">
        <v>13</v>
      </c>
      <c r="F213" s="30">
        <v>3</v>
      </c>
      <c r="G213" s="10">
        <v>3</v>
      </c>
      <c r="H213" s="10"/>
      <c r="I213" s="51">
        <v>3</v>
      </c>
      <c r="K213" s="14">
        <f t="shared" si="9"/>
        <v>3</v>
      </c>
      <c r="L213" s="15">
        <f t="shared" si="10"/>
        <v>0</v>
      </c>
      <c r="M213" s="16">
        <f t="shared" si="11"/>
        <v>3</v>
      </c>
      <c r="N213" s="53">
        <v>3</v>
      </c>
    </row>
    <row r="214" spans="1:25" s="3" customFormat="1" x14ac:dyDescent="0.25">
      <c r="A214" s="19">
        <v>267</v>
      </c>
      <c r="B214" s="31" t="s">
        <v>189</v>
      </c>
      <c r="C214" s="32" t="s">
        <v>190</v>
      </c>
      <c r="D214" s="33" t="s">
        <v>10</v>
      </c>
      <c r="E214" s="29" t="s">
        <v>13</v>
      </c>
      <c r="F214" s="30">
        <v>5</v>
      </c>
      <c r="G214" s="10">
        <v>5</v>
      </c>
      <c r="H214" s="10">
        <v>5</v>
      </c>
      <c r="I214" s="51">
        <v>0</v>
      </c>
      <c r="K214" s="14">
        <f t="shared" si="9"/>
        <v>0</v>
      </c>
      <c r="L214" s="15">
        <f t="shared" si="10"/>
        <v>0</v>
      </c>
      <c r="M214" s="16">
        <f t="shared" si="11"/>
        <v>0</v>
      </c>
    </row>
    <row r="215" spans="1:25" s="3" customFormat="1" x14ac:dyDescent="0.25">
      <c r="A215" s="19">
        <v>268</v>
      </c>
      <c r="B215" s="31" t="s">
        <v>189</v>
      </c>
      <c r="C215" s="32" t="s">
        <v>191</v>
      </c>
      <c r="D215" s="33" t="s">
        <v>10</v>
      </c>
      <c r="E215" s="29" t="s">
        <v>13</v>
      </c>
      <c r="F215" s="30">
        <v>23</v>
      </c>
      <c r="G215" s="10">
        <v>25</v>
      </c>
      <c r="H215" s="10">
        <v>23</v>
      </c>
      <c r="I215" s="51">
        <v>2</v>
      </c>
      <c r="J215" s="3">
        <v>1</v>
      </c>
      <c r="K215" s="14">
        <f t="shared" si="9"/>
        <v>3</v>
      </c>
      <c r="L215" s="15">
        <f t="shared" si="10"/>
        <v>0</v>
      </c>
      <c r="M215" s="16">
        <f t="shared" si="11"/>
        <v>3</v>
      </c>
      <c r="N215" s="53">
        <v>2</v>
      </c>
      <c r="X215" s="53">
        <v>1</v>
      </c>
    </row>
    <row r="216" spans="1:25" s="3" customFormat="1" x14ac:dyDescent="0.25">
      <c r="A216" s="19">
        <v>269</v>
      </c>
      <c r="B216" s="31" t="s">
        <v>192</v>
      </c>
      <c r="C216" s="32" t="s">
        <v>190</v>
      </c>
      <c r="D216" s="33" t="s">
        <v>10</v>
      </c>
      <c r="E216" s="29" t="s">
        <v>13</v>
      </c>
      <c r="F216" s="30">
        <v>10</v>
      </c>
      <c r="G216" s="10">
        <v>10</v>
      </c>
      <c r="H216" s="10"/>
      <c r="I216" s="51">
        <v>10</v>
      </c>
      <c r="K216" s="14">
        <f t="shared" si="9"/>
        <v>10</v>
      </c>
      <c r="L216" s="15">
        <f t="shared" si="10"/>
        <v>0</v>
      </c>
      <c r="M216" s="16">
        <f t="shared" si="11"/>
        <v>10</v>
      </c>
      <c r="N216" s="53">
        <v>10</v>
      </c>
    </row>
    <row r="217" spans="1:25" s="3" customFormat="1" x14ac:dyDescent="0.25">
      <c r="A217" s="19">
        <v>270</v>
      </c>
      <c r="B217" s="31" t="s">
        <v>192</v>
      </c>
      <c r="C217" s="32" t="s">
        <v>191</v>
      </c>
      <c r="D217" s="33" t="s">
        <v>10</v>
      </c>
      <c r="E217" s="29" t="s">
        <v>13</v>
      </c>
      <c r="F217" s="30">
        <v>29</v>
      </c>
      <c r="G217" s="10">
        <v>22</v>
      </c>
      <c r="H217" s="10"/>
      <c r="I217" s="51">
        <v>29</v>
      </c>
      <c r="K217" s="14">
        <f t="shared" si="9"/>
        <v>29</v>
      </c>
      <c r="L217" s="15">
        <f t="shared" si="10"/>
        <v>0</v>
      </c>
      <c r="M217" s="16">
        <f t="shared" si="11"/>
        <v>29</v>
      </c>
      <c r="N217" s="53">
        <v>29</v>
      </c>
    </row>
    <row r="218" spans="1:25" s="3" customFormat="1" x14ac:dyDescent="0.25">
      <c r="A218" s="19">
        <v>271</v>
      </c>
      <c r="B218" s="31" t="s">
        <v>193</v>
      </c>
      <c r="C218" s="32" t="s">
        <v>190</v>
      </c>
      <c r="D218" s="33" t="s">
        <v>10</v>
      </c>
      <c r="E218" s="29" t="s">
        <v>13</v>
      </c>
      <c r="F218" s="30">
        <v>162</v>
      </c>
      <c r="G218" s="10">
        <v>159</v>
      </c>
      <c r="H218" s="10"/>
      <c r="I218" s="51">
        <v>162</v>
      </c>
      <c r="J218" s="3">
        <v>9</v>
      </c>
      <c r="K218" s="14">
        <f t="shared" si="9"/>
        <v>171</v>
      </c>
      <c r="L218" s="15">
        <f t="shared" si="10"/>
        <v>0</v>
      </c>
      <c r="M218" s="16">
        <f t="shared" si="11"/>
        <v>171</v>
      </c>
      <c r="N218" s="53">
        <v>162</v>
      </c>
      <c r="X218" s="53">
        <v>9</v>
      </c>
    </row>
    <row r="219" spans="1:25" s="3" customFormat="1" x14ac:dyDescent="0.25">
      <c r="A219" s="19">
        <v>272</v>
      </c>
      <c r="B219" s="31" t="s">
        <v>193</v>
      </c>
      <c r="C219" s="32" t="s">
        <v>191</v>
      </c>
      <c r="D219" s="33" t="s">
        <v>10</v>
      </c>
      <c r="E219" s="29" t="s">
        <v>13</v>
      </c>
      <c r="F219" s="30">
        <v>218</v>
      </c>
      <c r="G219" s="10">
        <v>205</v>
      </c>
      <c r="H219" s="10"/>
      <c r="I219" s="51">
        <v>218</v>
      </c>
      <c r="K219" s="14">
        <f t="shared" si="9"/>
        <v>218</v>
      </c>
      <c r="L219" s="15">
        <f t="shared" si="10"/>
        <v>0</v>
      </c>
      <c r="M219" s="16">
        <f t="shared" si="11"/>
        <v>218</v>
      </c>
      <c r="N219" s="53">
        <v>218</v>
      </c>
    </row>
    <row r="220" spans="1:25" s="3" customFormat="1" x14ac:dyDescent="0.25">
      <c r="A220" s="19">
        <v>273</v>
      </c>
      <c r="B220" s="31" t="s">
        <v>194</v>
      </c>
      <c r="C220" s="32" t="s">
        <v>190</v>
      </c>
      <c r="D220" s="33" t="s">
        <v>10</v>
      </c>
      <c r="E220" s="29" t="s">
        <v>13</v>
      </c>
      <c r="F220" s="30">
        <v>18</v>
      </c>
      <c r="G220" s="10">
        <v>18</v>
      </c>
      <c r="H220" s="10"/>
      <c r="I220" s="51">
        <v>18</v>
      </c>
      <c r="J220" s="3">
        <v>3</v>
      </c>
      <c r="K220" s="14">
        <f t="shared" si="9"/>
        <v>21</v>
      </c>
      <c r="L220" s="15">
        <f t="shared" si="10"/>
        <v>0</v>
      </c>
      <c r="M220" s="16">
        <f t="shared" si="11"/>
        <v>21</v>
      </c>
      <c r="N220" s="53">
        <v>18</v>
      </c>
      <c r="X220" s="53">
        <v>3</v>
      </c>
    </row>
    <row r="221" spans="1:25" s="3" customFormat="1" x14ac:dyDescent="0.25">
      <c r="A221" s="19">
        <v>274</v>
      </c>
      <c r="B221" s="31" t="s">
        <v>194</v>
      </c>
      <c r="C221" s="32" t="s">
        <v>195</v>
      </c>
      <c r="D221" s="33" t="s">
        <v>10</v>
      </c>
      <c r="E221" s="29" t="s">
        <v>13</v>
      </c>
      <c r="F221" s="30">
        <v>1</v>
      </c>
      <c r="G221" s="10">
        <v>1</v>
      </c>
      <c r="H221" s="10"/>
      <c r="I221" s="51">
        <v>1</v>
      </c>
      <c r="K221" s="14">
        <f t="shared" si="9"/>
        <v>1</v>
      </c>
      <c r="L221" s="15">
        <f t="shared" si="10"/>
        <v>0</v>
      </c>
      <c r="M221" s="16">
        <f t="shared" si="11"/>
        <v>1</v>
      </c>
      <c r="N221" s="53">
        <v>1</v>
      </c>
    </row>
    <row r="222" spans="1:25" s="3" customFormat="1" x14ac:dyDescent="0.25">
      <c r="A222" s="19">
        <v>275</v>
      </c>
      <c r="B222" s="31" t="s">
        <v>194</v>
      </c>
      <c r="C222" s="32" t="s">
        <v>191</v>
      </c>
      <c r="D222" s="33" t="s">
        <v>10</v>
      </c>
      <c r="E222" s="29" t="s">
        <v>13</v>
      </c>
      <c r="F222" s="30">
        <v>32</v>
      </c>
      <c r="G222" s="10">
        <v>32</v>
      </c>
      <c r="H222" s="10">
        <v>9</v>
      </c>
      <c r="I222" s="51">
        <v>23</v>
      </c>
      <c r="K222" s="14">
        <f t="shared" si="9"/>
        <v>23</v>
      </c>
      <c r="L222" s="15">
        <f t="shared" si="10"/>
        <v>0</v>
      </c>
      <c r="M222" s="16">
        <f t="shared" si="11"/>
        <v>23</v>
      </c>
      <c r="N222" s="53">
        <v>23</v>
      </c>
    </row>
    <row r="223" spans="1:25" s="3" customFormat="1" x14ac:dyDescent="0.25">
      <c r="A223" s="19">
        <v>276</v>
      </c>
      <c r="B223" s="31" t="s">
        <v>196</v>
      </c>
      <c r="C223" s="32" t="s">
        <v>197</v>
      </c>
      <c r="D223" s="33" t="s">
        <v>10</v>
      </c>
      <c r="E223" s="29" t="s">
        <v>13</v>
      </c>
      <c r="F223" s="30">
        <v>20</v>
      </c>
      <c r="G223" s="10">
        <v>20</v>
      </c>
      <c r="H223" s="10"/>
      <c r="I223" s="51">
        <v>20</v>
      </c>
      <c r="K223" s="14">
        <f t="shared" si="9"/>
        <v>20</v>
      </c>
      <c r="L223" s="15">
        <f t="shared" si="10"/>
        <v>0</v>
      </c>
      <c r="M223" s="16">
        <f t="shared" si="11"/>
        <v>20</v>
      </c>
      <c r="N223" s="53">
        <v>20</v>
      </c>
    </row>
    <row r="224" spans="1:25" s="3" customFormat="1" x14ac:dyDescent="0.25">
      <c r="A224" s="19">
        <v>277</v>
      </c>
      <c r="B224" s="31" t="s">
        <v>196</v>
      </c>
      <c r="C224" s="32" t="s">
        <v>198</v>
      </c>
      <c r="D224" s="33" t="s">
        <v>10</v>
      </c>
      <c r="E224" s="29" t="s">
        <v>13</v>
      </c>
      <c r="F224" s="30">
        <v>1</v>
      </c>
      <c r="G224" s="10">
        <v>1</v>
      </c>
      <c r="H224" s="10"/>
      <c r="I224" s="51">
        <v>1</v>
      </c>
      <c r="K224" s="14">
        <f t="shared" si="9"/>
        <v>1</v>
      </c>
      <c r="L224" s="15">
        <f t="shared" si="10"/>
        <v>0</v>
      </c>
      <c r="M224" s="16">
        <f t="shared" si="11"/>
        <v>1</v>
      </c>
      <c r="N224" s="53">
        <v>1</v>
      </c>
    </row>
    <row r="225" spans="1:24" s="3" customFormat="1" x14ac:dyDescent="0.25">
      <c r="A225" s="19">
        <v>278</v>
      </c>
      <c r="B225" s="31" t="s">
        <v>199</v>
      </c>
      <c r="C225" s="32" t="s">
        <v>200</v>
      </c>
      <c r="D225" s="33" t="s">
        <v>10</v>
      </c>
      <c r="E225" s="29" t="s">
        <v>13</v>
      </c>
      <c r="F225" s="30">
        <v>4</v>
      </c>
      <c r="G225" s="10">
        <v>4</v>
      </c>
      <c r="H225" s="10"/>
      <c r="I225" s="51">
        <v>4</v>
      </c>
      <c r="K225" s="14">
        <f t="shared" si="9"/>
        <v>4</v>
      </c>
      <c r="L225" s="15">
        <f t="shared" si="10"/>
        <v>0</v>
      </c>
      <c r="M225" s="16">
        <f t="shared" si="11"/>
        <v>4</v>
      </c>
      <c r="N225" s="53">
        <v>4</v>
      </c>
    </row>
    <row r="226" spans="1:24" s="3" customFormat="1" x14ac:dyDescent="0.25">
      <c r="A226" s="19">
        <v>279</v>
      </c>
      <c r="B226" s="31" t="s">
        <v>201</v>
      </c>
      <c r="C226" s="32" t="s">
        <v>202</v>
      </c>
      <c r="D226" s="33" t="s">
        <v>10</v>
      </c>
      <c r="E226" s="29" t="s">
        <v>13</v>
      </c>
      <c r="F226" s="30">
        <v>1</v>
      </c>
      <c r="G226" s="10">
        <v>1</v>
      </c>
      <c r="H226" s="10">
        <v>1</v>
      </c>
      <c r="I226" s="51">
        <v>0</v>
      </c>
      <c r="J226" s="3">
        <v>1</v>
      </c>
      <c r="K226" s="14">
        <f t="shared" si="9"/>
        <v>1</v>
      </c>
      <c r="L226" s="15">
        <f t="shared" si="10"/>
        <v>0</v>
      </c>
      <c r="M226" s="16">
        <f t="shared" si="11"/>
        <v>1</v>
      </c>
      <c r="X226" s="53">
        <v>1</v>
      </c>
    </row>
    <row r="227" spans="1:24" s="3" customFormat="1" x14ac:dyDescent="0.25">
      <c r="A227" s="19">
        <v>280</v>
      </c>
      <c r="B227" s="31" t="s">
        <v>201</v>
      </c>
      <c r="C227" s="32" t="s">
        <v>203</v>
      </c>
      <c r="D227" s="33" t="s">
        <v>10</v>
      </c>
      <c r="E227" s="29" t="s">
        <v>13</v>
      </c>
      <c r="F227" s="30">
        <v>2</v>
      </c>
      <c r="G227" s="10">
        <v>1</v>
      </c>
      <c r="H227" s="10">
        <v>2</v>
      </c>
      <c r="I227" s="51">
        <v>0</v>
      </c>
      <c r="J227" s="3">
        <v>2</v>
      </c>
      <c r="K227" s="14">
        <f t="shared" si="9"/>
        <v>2</v>
      </c>
      <c r="L227" s="15">
        <f t="shared" si="10"/>
        <v>0</v>
      </c>
      <c r="M227" s="16">
        <f t="shared" si="11"/>
        <v>2</v>
      </c>
      <c r="X227" s="53">
        <v>2</v>
      </c>
    </row>
    <row r="228" spans="1:24" s="3" customFormat="1" x14ac:dyDescent="0.25">
      <c r="A228" s="19">
        <v>281</v>
      </c>
      <c r="B228" s="31" t="s">
        <v>204</v>
      </c>
      <c r="C228" s="32" t="s">
        <v>202</v>
      </c>
      <c r="D228" s="33" t="s">
        <v>10</v>
      </c>
      <c r="E228" s="29" t="s">
        <v>13</v>
      </c>
      <c r="F228" s="30">
        <v>22</v>
      </c>
      <c r="G228" s="10">
        <v>22</v>
      </c>
      <c r="H228" s="10">
        <v>2</v>
      </c>
      <c r="I228" s="51">
        <v>20</v>
      </c>
      <c r="K228" s="14">
        <f t="shared" si="9"/>
        <v>20</v>
      </c>
      <c r="L228" s="15">
        <f t="shared" si="10"/>
        <v>0</v>
      </c>
      <c r="M228" s="16">
        <f t="shared" si="11"/>
        <v>20</v>
      </c>
      <c r="R228" s="53">
        <v>20</v>
      </c>
    </row>
    <row r="229" spans="1:24" s="3" customFormat="1" x14ac:dyDescent="0.25">
      <c r="A229" s="19">
        <v>282</v>
      </c>
      <c r="B229" s="31" t="s">
        <v>204</v>
      </c>
      <c r="C229" s="32" t="s">
        <v>203</v>
      </c>
      <c r="D229" s="33" t="s">
        <v>10</v>
      </c>
      <c r="E229" s="29" t="s">
        <v>13</v>
      </c>
      <c r="F229" s="30">
        <v>2</v>
      </c>
      <c r="G229" s="10">
        <v>2</v>
      </c>
      <c r="H229" s="10"/>
      <c r="I229" s="51">
        <v>2</v>
      </c>
      <c r="J229" s="3">
        <v>1</v>
      </c>
      <c r="K229" s="14">
        <f t="shared" si="9"/>
        <v>3</v>
      </c>
      <c r="L229" s="15">
        <f t="shared" si="10"/>
        <v>0</v>
      </c>
      <c r="M229" s="16">
        <f t="shared" si="11"/>
        <v>3</v>
      </c>
      <c r="R229" s="53">
        <v>2</v>
      </c>
      <c r="X229" s="53">
        <v>1</v>
      </c>
    </row>
    <row r="230" spans="1:24" s="3" customFormat="1" x14ac:dyDescent="0.25">
      <c r="A230" s="19" t="s">
        <v>205</v>
      </c>
      <c r="B230" s="31" t="s">
        <v>206</v>
      </c>
      <c r="C230" s="32" t="s">
        <v>411</v>
      </c>
      <c r="D230" s="33" t="s">
        <v>10</v>
      </c>
      <c r="E230" s="29" t="s">
        <v>13</v>
      </c>
      <c r="F230" s="30">
        <v>3</v>
      </c>
      <c r="G230" s="10">
        <v>0</v>
      </c>
      <c r="H230" s="10">
        <v>2</v>
      </c>
      <c r="I230" s="51">
        <v>1</v>
      </c>
      <c r="K230" s="14">
        <f t="shared" si="9"/>
        <v>1</v>
      </c>
      <c r="L230" s="15">
        <f t="shared" si="10"/>
        <v>0</v>
      </c>
      <c r="M230" s="16">
        <f t="shared" si="11"/>
        <v>1</v>
      </c>
      <c r="N230" s="53">
        <v>1</v>
      </c>
    </row>
    <row r="231" spans="1:24" s="3" customFormat="1" x14ac:dyDescent="0.25">
      <c r="A231" s="19">
        <v>283</v>
      </c>
      <c r="B231" s="31" t="s">
        <v>206</v>
      </c>
      <c r="C231" s="32" t="s">
        <v>202</v>
      </c>
      <c r="D231" s="33" t="s">
        <v>10</v>
      </c>
      <c r="E231" s="29" t="s">
        <v>13</v>
      </c>
      <c r="F231" s="30">
        <v>80</v>
      </c>
      <c r="G231" s="10">
        <v>81</v>
      </c>
      <c r="H231" s="10">
        <v>24</v>
      </c>
      <c r="I231" s="51">
        <v>57</v>
      </c>
      <c r="K231" s="14">
        <f t="shared" si="9"/>
        <v>57</v>
      </c>
      <c r="L231" s="15">
        <f t="shared" si="10"/>
        <v>0</v>
      </c>
      <c r="M231" s="16">
        <f t="shared" si="11"/>
        <v>57</v>
      </c>
      <c r="N231" s="53">
        <v>57</v>
      </c>
    </row>
    <row r="232" spans="1:24" s="3" customFormat="1" x14ac:dyDescent="0.25">
      <c r="A232" s="19">
        <v>284</v>
      </c>
      <c r="B232" s="31" t="s">
        <v>206</v>
      </c>
      <c r="C232" s="32" t="s">
        <v>207</v>
      </c>
      <c r="D232" s="33" t="s">
        <v>10</v>
      </c>
      <c r="E232" s="29" t="s">
        <v>13</v>
      </c>
      <c r="F232" s="30">
        <v>45</v>
      </c>
      <c r="G232" s="10">
        <v>47</v>
      </c>
      <c r="H232" s="10">
        <v>11</v>
      </c>
      <c r="I232" s="51">
        <v>36</v>
      </c>
      <c r="J232" s="3">
        <v>3</v>
      </c>
      <c r="K232" s="14">
        <f t="shared" si="9"/>
        <v>39</v>
      </c>
      <c r="L232" s="15">
        <f t="shared" si="10"/>
        <v>0</v>
      </c>
      <c r="M232" s="16">
        <f t="shared" si="11"/>
        <v>39</v>
      </c>
      <c r="N232" s="53">
        <v>36</v>
      </c>
      <c r="X232" s="53">
        <v>3</v>
      </c>
    </row>
    <row r="233" spans="1:24" s="3" customFormat="1" x14ac:dyDescent="0.25">
      <c r="A233" s="19">
        <v>285</v>
      </c>
      <c r="B233" s="31" t="s">
        <v>206</v>
      </c>
      <c r="C233" s="32" t="s">
        <v>208</v>
      </c>
      <c r="D233" s="33" t="s">
        <v>10</v>
      </c>
      <c r="E233" s="29" t="s">
        <v>13</v>
      </c>
      <c r="F233" s="30">
        <v>2</v>
      </c>
      <c r="G233" s="10">
        <v>2</v>
      </c>
      <c r="H233" s="10"/>
      <c r="I233" s="51">
        <v>2</v>
      </c>
      <c r="K233" s="14">
        <f t="shared" si="9"/>
        <v>2</v>
      </c>
      <c r="L233" s="15">
        <f t="shared" si="10"/>
        <v>0</v>
      </c>
      <c r="M233" s="16">
        <f t="shared" si="11"/>
        <v>2</v>
      </c>
      <c r="N233" s="53">
        <v>2</v>
      </c>
    </row>
    <row r="234" spans="1:24" s="3" customFormat="1" x14ac:dyDescent="0.25">
      <c r="A234" s="19">
        <v>286</v>
      </c>
      <c r="B234" s="31" t="s">
        <v>206</v>
      </c>
      <c r="C234" s="32" t="s">
        <v>203</v>
      </c>
      <c r="D234" s="33" t="s">
        <v>10</v>
      </c>
      <c r="E234" s="29" t="s">
        <v>13</v>
      </c>
      <c r="F234" s="30">
        <v>13</v>
      </c>
      <c r="G234" s="10">
        <v>13</v>
      </c>
      <c r="H234" s="10">
        <v>4</v>
      </c>
      <c r="I234" s="51">
        <v>9</v>
      </c>
      <c r="K234" s="14">
        <f t="shared" si="9"/>
        <v>9</v>
      </c>
      <c r="L234" s="15">
        <f t="shared" si="10"/>
        <v>0</v>
      </c>
      <c r="M234" s="16">
        <f t="shared" si="11"/>
        <v>9</v>
      </c>
      <c r="N234" s="53">
        <v>9</v>
      </c>
    </row>
    <row r="235" spans="1:24" s="3" customFormat="1" x14ac:dyDescent="0.25">
      <c r="A235" s="19">
        <v>287</v>
      </c>
      <c r="B235" s="31" t="s">
        <v>209</v>
      </c>
      <c r="C235" s="32" t="s">
        <v>202</v>
      </c>
      <c r="D235" s="33" t="s">
        <v>10</v>
      </c>
      <c r="E235" s="29" t="s">
        <v>13</v>
      </c>
      <c r="F235" s="30">
        <v>9</v>
      </c>
      <c r="G235" s="10">
        <v>9</v>
      </c>
      <c r="H235" s="10">
        <v>1</v>
      </c>
      <c r="I235" s="51">
        <v>8</v>
      </c>
      <c r="K235" s="14">
        <f t="shared" si="9"/>
        <v>8</v>
      </c>
      <c r="L235" s="15">
        <f t="shared" si="10"/>
        <v>0</v>
      </c>
      <c r="M235" s="16">
        <f t="shared" si="11"/>
        <v>8</v>
      </c>
      <c r="N235" s="53">
        <v>8</v>
      </c>
    </row>
    <row r="236" spans="1:24" s="3" customFormat="1" x14ac:dyDescent="0.25">
      <c r="A236" s="19">
        <v>288</v>
      </c>
      <c r="B236" s="35" t="s">
        <v>209</v>
      </c>
      <c r="C236" s="32" t="s">
        <v>207</v>
      </c>
      <c r="D236" s="33" t="s">
        <v>10</v>
      </c>
      <c r="E236" s="29" t="s">
        <v>13</v>
      </c>
      <c r="F236" s="30">
        <v>25</v>
      </c>
      <c r="G236" s="10">
        <v>25</v>
      </c>
      <c r="H236" s="10"/>
      <c r="I236" s="51">
        <v>25</v>
      </c>
      <c r="K236" s="14">
        <f t="shared" si="9"/>
        <v>25</v>
      </c>
      <c r="L236" s="15">
        <f>+M236-K236</f>
        <v>0</v>
      </c>
      <c r="M236" s="16">
        <f t="shared" si="11"/>
        <v>25</v>
      </c>
      <c r="N236" s="53">
        <v>25</v>
      </c>
    </row>
    <row r="237" spans="1:24" s="3" customFormat="1" x14ac:dyDescent="0.25">
      <c r="A237" s="19">
        <v>289</v>
      </c>
      <c r="B237" s="31" t="s">
        <v>209</v>
      </c>
      <c r="C237" s="32" t="s">
        <v>203</v>
      </c>
      <c r="D237" s="33" t="s">
        <v>10</v>
      </c>
      <c r="E237" s="29" t="s">
        <v>13</v>
      </c>
      <c r="F237" s="30">
        <v>3</v>
      </c>
      <c r="G237" s="10">
        <v>3</v>
      </c>
      <c r="H237" s="10"/>
      <c r="I237" s="51">
        <v>3</v>
      </c>
      <c r="K237" s="14">
        <f t="shared" si="9"/>
        <v>3</v>
      </c>
      <c r="L237" s="15">
        <f t="shared" si="10"/>
        <v>0</v>
      </c>
      <c r="M237" s="16">
        <f t="shared" si="11"/>
        <v>3</v>
      </c>
      <c r="N237" s="53">
        <v>3</v>
      </c>
    </row>
    <row r="238" spans="1:24" s="3" customFormat="1" ht="33" x14ac:dyDescent="0.25">
      <c r="A238" s="19">
        <v>290</v>
      </c>
      <c r="B238" s="31" t="s">
        <v>210</v>
      </c>
      <c r="C238" s="32" t="s">
        <v>211</v>
      </c>
      <c r="D238" s="33" t="s">
        <v>10</v>
      </c>
      <c r="E238" s="29" t="s">
        <v>13</v>
      </c>
      <c r="F238" s="30">
        <v>11</v>
      </c>
      <c r="G238" s="10">
        <v>9</v>
      </c>
      <c r="H238" s="10"/>
      <c r="I238" s="51">
        <v>11</v>
      </c>
      <c r="K238" s="14">
        <f t="shared" si="9"/>
        <v>11</v>
      </c>
      <c r="L238" s="15">
        <f t="shared" si="10"/>
        <v>0</v>
      </c>
      <c r="M238" s="16">
        <f t="shared" si="11"/>
        <v>11</v>
      </c>
      <c r="N238" s="53">
        <v>11</v>
      </c>
    </row>
    <row r="239" spans="1:24" s="3" customFormat="1" ht="33" x14ac:dyDescent="0.25">
      <c r="A239" s="19">
        <v>291</v>
      </c>
      <c r="B239" s="31" t="s">
        <v>212</v>
      </c>
      <c r="C239" s="32" t="s">
        <v>213</v>
      </c>
      <c r="D239" s="33" t="s">
        <v>10</v>
      </c>
      <c r="E239" s="29" t="s">
        <v>13</v>
      </c>
      <c r="F239" s="30">
        <v>10</v>
      </c>
      <c r="G239" s="10">
        <v>10</v>
      </c>
      <c r="H239" s="10"/>
      <c r="I239" s="51">
        <v>10</v>
      </c>
      <c r="K239" s="14">
        <f t="shared" si="9"/>
        <v>10</v>
      </c>
      <c r="L239" s="15">
        <f t="shared" si="10"/>
        <v>0</v>
      </c>
      <c r="M239" s="16">
        <f t="shared" si="11"/>
        <v>10</v>
      </c>
      <c r="N239" s="53">
        <v>10</v>
      </c>
    </row>
    <row r="240" spans="1:24" s="3" customFormat="1" ht="33" x14ac:dyDescent="0.25">
      <c r="A240" s="19">
        <v>292</v>
      </c>
      <c r="B240" s="31" t="s">
        <v>212</v>
      </c>
      <c r="C240" s="32" t="s">
        <v>214</v>
      </c>
      <c r="D240" s="33" t="s">
        <v>10</v>
      </c>
      <c r="E240" s="29" t="s">
        <v>13</v>
      </c>
      <c r="F240" s="30">
        <v>18</v>
      </c>
      <c r="G240" s="10">
        <v>13</v>
      </c>
      <c r="H240" s="10"/>
      <c r="I240" s="51">
        <v>18</v>
      </c>
      <c r="K240" s="14">
        <f t="shared" si="9"/>
        <v>18</v>
      </c>
      <c r="L240" s="15">
        <f t="shared" si="10"/>
        <v>0</v>
      </c>
      <c r="M240" s="16">
        <f t="shared" si="11"/>
        <v>18</v>
      </c>
      <c r="N240" s="53">
        <v>18</v>
      </c>
    </row>
    <row r="241" spans="1:25" s="3" customFormat="1" x14ac:dyDescent="0.25">
      <c r="A241" s="19">
        <v>293</v>
      </c>
      <c r="B241" s="31" t="s">
        <v>215</v>
      </c>
      <c r="C241" s="32" t="s">
        <v>213</v>
      </c>
      <c r="D241" s="33" t="s">
        <v>10</v>
      </c>
      <c r="E241" s="29" t="s">
        <v>13</v>
      </c>
      <c r="F241" s="30">
        <v>5</v>
      </c>
      <c r="G241" s="10">
        <v>5</v>
      </c>
      <c r="H241" s="10"/>
      <c r="I241" s="51">
        <v>5</v>
      </c>
      <c r="K241" s="14">
        <f t="shared" si="9"/>
        <v>5</v>
      </c>
      <c r="L241" s="15">
        <f t="shared" si="10"/>
        <v>0</v>
      </c>
      <c r="M241" s="16">
        <f t="shared" si="11"/>
        <v>5</v>
      </c>
      <c r="N241" s="53">
        <v>5</v>
      </c>
    </row>
    <row r="242" spans="1:25" s="3" customFormat="1" x14ac:dyDescent="0.25">
      <c r="A242" s="19">
        <v>294</v>
      </c>
      <c r="B242" s="35" t="s">
        <v>215</v>
      </c>
      <c r="C242" s="32" t="s">
        <v>214</v>
      </c>
      <c r="D242" s="33" t="s">
        <v>10</v>
      </c>
      <c r="E242" s="29" t="s">
        <v>13</v>
      </c>
      <c r="F242" s="30">
        <v>22</v>
      </c>
      <c r="G242" s="10">
        <v>24</v>
      </c>
      <c r="H242" s="10"/>
      <c r="I242" s="51">
        <v>24</v>
      </c>
      <c r="J242" s="3">
        <v>2</v>
      </c>
      <c r="K242" s="14">
        <f t="shared" si="9"/>
        <v>26</v>
      </c>
      <c r="L242" s="15">
        <f t="shared" si="10"/>
        <v>0</v>
      </c>
      <c r="M242" s="16">
        <f t="shared" si="11"/>
        <v>26</v>
      </c>
      <c r="V242" s="53">
        <v>24</v>
      </c>
      <c r="Y242" s="53">
        <v>2</v>
      </c>
    </row>
    <row r="243" spans="1:25" s="3" customFormat="1" x14ac:dyDescent="0.25">
      <c r="A243" s="19">
        <v>295</v>
      </c>
      <c r="B243" s="31" t="s">
        <v>216</v>
      </c>
      <c r="C243" s="32" t="s">
        <v>213</v>
      </c>
      <c r="D243" s="33" t="s">
        <v>10</v>
      </c>
      <c r="E243" s="29" t="s">
        <v>13</v>
      </c>
      <c r="F243" s="30">
        <v>162</v>
      </c>
      <c r="G243" s="10">
        <v>159</v>
      </c>
      <c r="H243" s="10"/>
      <c r="I243" s="51">
        <v>162</v>
      </c>
      <c r="J243" s="3">
        <v>9</v>
      </c>
      <c r="K243" s="14">
        <f t="shared" si="9"/>
        <v>171</v>
      </c>
      <c r="L243" s="15">
        <f t="shared" si="10"/>
        <v>0</v>
      </c>
      <c r="M243" s="16">
        <f t="shared" si="11"/>
        <v>171</v>
      </c>
      <c r="X243" s="53">
        <v>162</v>
      </c>
      <c r="Y243" s="53">
        <v>9</v>
      </c>
    </row>
    <row r="244" spans="1:25" s="3" customFormat="1" x14ac:dyDescent="0.25">
      <c r="A244" s="19">
        <v>296</v>
      </c>
      <c r="B244" s="31" t="s">
        <v>216</v>
      </c>
      <c r="C244" s="32" t="s">
        <v>217</v>
      </c>
      <c r="D244" s="33" t="s">
        <v>10</v>
      </c>
      <c r="E244" s="29" t="s">
        <v>13</v>
      </c>
      <c r="F244" s="30">
        <v>4</v>
      </c>
      <c r="G244" s="10">
        <v>4</v>
      </c>
      <c r="H244" s="10"/>
      <c r="I244" s="51">
        <v>4</v>
      </c>
      <c r="K244" s="14">
        <f t="shared" si="9"/>
        <v>4</v>
      </c>
      <c r="L244" s="15">
        <f t="shared" si="10"/>
        <v>0</v>
      </c>
      <c r="M244" s="16">
        <f t="shared" si="11"/>
        <v>4</v>
      </c>
      <c r="V244" s="53">
        <v>4</v>
      </c>
    </row>
    <row r="245" spans="1:25" s="3" customFormat="1" x14ac:dyDescent="0.25">
      <c r="A245" s="19">
        <v>297</v>
      </c>
      <c r="B245" s="31" t="s">
        <v>216</v>
      </c>
      <c r="C245" s="32" t="s">
        <v>214</v>
      </c>
      <c r="D245" s="33" t="s">
        <v>10</v>
      </c>
      <c r="E245" s="29" t="s">
        <v>13</v>
      </c>
      <c r="F245" s="30">
        <v>225</v>
      </c>
      <c r="G245" s="10">
        <v>212</v>
      </c>
      <c r="H245" s="10"/>
      <c r="I245" s="51">
        <v>225</v>
      </c>
      <c r="K245" s="14">
        <f t="shared" si="9"/>
        <v>225</v>
      </c>
      <c r="L245" s="15">
        <f t="shared" si="10"/>
        <v>0</v>
      </c>
      <c r="M245" s="16">
        <f t="shared" si="11"/>
        <v>225</v>
      </c>
      <c r="X245" s="53">
        <v>225</v>
      </c>
    </row>
    <row r="246" spans="1:25" s="3" customFormat="1" ht="33" x14ac:dyDescent="0.25">
      <c r="A246" s="19">
        <v>298</v>
      </c>
      <c r="B246" s="31" t="s">
        <v>218</v>
      </c>
      <c r="C246" s="32" t="s">
        <v>213</v>
      </c>
      <c r="D246" s="33" t="s">
        <v>10</v>
      </c>
      <c r="E246" s="29" t="s">
        <v>13</v>
      </c>
      <c r="F246" s="30">
        <v>17</v>
      </c>
      <c r="G246" s="10">
        <v>17</v>
      </c>
      <c r="H246" s="10"/>
      <c r="I246" s="51">
        <v>17</v>
      </c>
      <c r="J246" s="3">
        <v>1</v>
      </c>
      <c r="K246" s="14">
        <f t="shared" si="9"/>
        <v>18</v>
      </c>
      <c r="L246" s="15">
        <f t="shared" si="10"/>
        <v>0</v>
      </c>
      <c r="M246" s="16">
        <f t="shared" si="11"/>
        <v>18</v>
      </c>
      <c r="N246" s="53">
        <v>17</v>
      </c>
      <c r="X246" s="53">
        <v>1</v>
      </c>
    </row>
    <row r="247" spans="1:25" s="3" customFormat="1" ht="33" x14ac:dyDescent="0.25">
      <c r="A247" s="19">
        <v>299</v>
      </c>
      <c r="B247" s="35" t="s">
        <v>218</v>
      </c>
      <c r="C247" s="32" t="s">
        <v>217</v>
      </c>
      <c r="D247" s="33" t="s">
        <v>10</v>
      </c>
      <c r="E247" s="29" t="s">
        <v>13</v>
      </c>
      <c r="F247" s="30">
        <v>1</v>
      </c>
      <c r="G247" s="10">
        <v>1</v>
      </c>
      <c r="H247" s="10"/>
      <c r="I247" s="51">
        <v>1</v>
      </c>
      <c r="K247" s="14">
        <f t="shared" si="9"/>
        <v>1</v>
      </c>
      <c r="L247" s="15">
        <f>+M247-K247</f>
        <v>0</v>
      </c>
      <c r="M247" s="16">
        <f t="shared" si="11"/>
        <v>1</v>
      </c>
      <c r="N247" s="53">
        <v>1</v>
      </c>
    </row>
    <row r="248" spans="1:25" s="3" customFormat="1" ht="33" x14ac:dyDescent="0.25">
      <c r="A248" s="19">
        <v>300</v>
      </c>
      <c r="B248" s="31" t="s">
        <v>218</v>
      </c>
      <c r="C248" s="32" t="s">
        <v>214</v>
      </c>
      <c r="D248" s="33" t="s">
        <v>10</v>
      </c>
      <c r="E248" s="29" t="s">
        <v>13</v>
      </c>
      <c r="F248" s="30">
        <v>32</v>
      </c>
      <c r="G248" s="10">
        <v>32</v>
      </c>
      <c r="H248" s="10"/>
      <c r="I248" s="51">
        <v>32</v>
      </c>
      <c r="K248" s="14">
        <f t="shared" ref="K248:K261" si="12">SUM(I248:J248)</f>
        <v>32</v>
      </c>
      <c r="L248" s="15">
        <f t="shared" si="10"/>
        <v>0</v>
      </c>
      <c r="M248" s="16">
        <f t="shared" si="11"/>
        <v>32</v>
      </c>
      <c r="X248" s="53">
        <v>32</v>
      </c>
    </row>
    <row r="249" spans="1:25" s="3" customFormat="1" x14ac:dyDescent="0.25">
      <c r="A249" s="19">
        <v>301</v>
      </c>
      <c r="B249" s="31" t="s">
        <v>219</v>
      </c>
      <c r="C249" s="32" t="s">
        <v>220</v>
      </c>
      <c r="D249" s="33" t="s">
        <v>10</v>
      </c>
      <c r="E249" s="29" t="s">
        <v>13</v>
      </c>
      <c r="F249" s="30">
        <v>4</v>
      </c>
      <c r="G249" s="10">
        <v>1</v>
      </c>
      <c r="H249" s="10"/>
      <c r="I249" s="51">
        <v>4</v>
      </c>
      <c r="K249" s="14">
        <f t="shared" si="12"/>
        <v>4</v>
      </c>
      <c r="L249" s="15">
        <f t="shared" si="10"/>
        <v>0</v>
      </c>
      <c r="M249" s="16">
        <f t="shared" si="11"/>
        <v>4</v>
      </c>
      <c r="V249" s="53">
        <v>4</v>
      </c>
    </row>
    <row r="250" spans="1:25" s="3" customFormat="1" x14ac:dyDescent="0.25">
      <c r="A250" s="19">
        <v>302</v>
      </c>
      <c r="B250" s="31" t="s">
        <v>219</v>
      </c>
      <c r="C250" s="32" t="s">
        <v>221</v>
      </c>
      <c r="D250" s="33" t="s">
        <v>10</v>
      </c>
      <c r="E250" s="29" t="s">
        <v>13</v>
      </c>
      <c r="F250" s="30">
        <v>3</v>
      </c>
      <c r="G250" s="10">
        <v>3</v>
      </c>
      <c r="H250" s="10"/>
      <c r="I250" s="51">
        <v>3</v>
      </c>
      <c r="K250" s="14">
        <f t="shared" si="12"/>
        <v>3</v>
      </c>
      <c r="L250" s="15">
        <f t="shared" si="10"/>
        <v>0</v>
      </c>
      <c r="M250" s="16">
        <f t="shared" si="11"/>
        <v>3</v>
      </c>
      <c r="V250" s="53">
        <v>3</v>
      </c>
    </row>
    <row r="251" spans="1:25" s="3" customFormat="1" x14ac:dyDescent="0.25">
      <c r="A251" s="19">
        <v>303</v>
      </c>
      <c r="B251" s="31" t="s">
        <v>219</v>
      </c>
      <c r="C251" s="32" t="s">
        <v>222</v>
      </c>
      <c r="D251" s="33" t="s">
        <v>10</v>
      </c>
      <c r="E251" s="29" t="s">
        <v>13</v>
      </c>
      <c r="F251" s="30">
        <v>3</v>
      </c>
      <c r="G251" s="10">
        <v>3</v>
      </c>
      <c r="H251" s="10"/>
      <c r="I251" s="51">
        <v>3</v>
      </c>
      <c r="K251" s="14">
        <f t="shared" si="12"/>
        <v>3</v>
      </c>
      <c r="L251" s="15">
        <f t="shared" si="10"/>
        <v>0</v>
      </c>
      <c r="M251" s="16">
        <f t="shared" si="11"/>
        <v>3</v>
      </c>
      <c r="R251" s="53">
        <v>3</v>
      </c>
    </row>
    <row r="252" spans="1:25" s="3" customFormat="1" x14ac:dyDescent="0.25">
      <c r="A252" s="19">
        <v>304</v>
      </c>
      <c r="B252" s="31" t="s">
        <v>219</v>
      </c>
      <c r="C252" s="32" t="s">
        <v>223</v>
      </c>
      <c r="D252" s="33" t="s">
        <v>10</v>
      </c>
      <c r="E252" s="29" t="s">
        <v>13</v>
      </c>
      <c r="F252" s="30">
        <v>10</v>
      </c>
      <c r="G252" s="10">
        <v>10</v>
      </c>
      <c r="H252" s="10"/>
      <c r="I252" s="51">
        <v>10</v>
      </c>
      <c r="K252" s="14">
        <f t="shared" si="12"/>
        <v>10</v>
      </c>
      <c r="L252" s="15">
        <f t="shared" si="10"/>
        <v>0</v>
      </c>
      <c r="M252" s="16">
        <f t="shared" si="11"/>
        <v>10</v>
      </c>
      <c r="R252" s="53">
        <v>10</v>
      </c>
    </row>
    <row r="253" spans="1:25" s="3" customFormat="1" x14ac:dyDescent="0.25">
      <c r="A253" s="19">
        <v>305</v>
      </c>
      <c r="B253" s="31" t="s">
        <v>219</v>
      </c>
      <c r="C253" s="32" t="s">
        <v>224</v>
      </c>
      <c r="D253" s="33" t="s">
        <v>10</v>
      </c>
      <c r="E253" s="29" t="s">
        <v>13</v>
      </c>
      <c r="F253" s="30">
        <v>4</v>
      </c>
      <c r="G253" s="10">
        <v>4</v>
      </c>
      <c r="H253" s="10"/>
      <c r="I253" s="51">
        <v>4</v>
      </c>
      <c r="K253" s="14">
        <f t="shared" si="12"/>
        <v>4</v>
      </c>
      <c r="L253" s="15">
        <f t="shared" si="10"/>
        <v>0</v>
      </c>
      <c r="M253" s="16">
        <f t="shared" si="11"/>
        <v>4</v>
      </c>
      <c r="V253" s="53">
        <v>4</v>
      </c>
    </row>
    <row r="254" spans="1:25" s="3" customFormat="1" x14ac:dyDescent="0.25">
      <c r="A254" s="19">
        <v>306</v>
      </c>
      <c r="B254" s="31" t="s">
        <v>219</v>
      </c>
      <c r="C254" s="32" t="s">
        <v>225</v>
      </c>
      <c r="D254" s="33" t="s">
        <v>10</v>
      </c>
      <c r="E254" s="29" t="s">
        <v>13</v>
      </c>
      <c r="F254" s="30">
        <v>7</v>
      </c>
      <c r="G254" s="10">
        <v>5</v>
      </c>
      <c r="H254" s="10"/>
      <c r="I254" s="51">
        <v>7</v>
      </c>
      <c r="K254" s="14">
        <f t="shared" si="12"/>
        <v>7</v>
      </c>
      <c r="L254" s="15">
        <f t="shared" si="10"/>
        <v>0</v>
      </c>
      <c r="M254" s="16">
        <f t="shared" si="11"/>
        <v>7</v>
      </c>
      <c r="R254" s="53">
        <v>7</v>
      </c>
    </row>
    <row r="255" spans="1:25" s="3" customFormat="1" x14ac:dyDescent="0.25">
      <c r="A255" s="19" t="s">
        <v>226</v>
      </c>
      <c r="B255" s="31" t="s">
        <v>219</v>
      </c>
      <c r="C255" s="32" t="s">
        <v>227</v>
      </c>
      <c r="D255" s="33" t="s">
        <v>10</v>
      </c>
      <c r="E255" s="29" t="s">
        <v>13</v>
      </c>
      <c r="F255" s="30">
        <v>1</v>
      </c>
      <c r="G255" s="10">
        <v>0</v>
      </c>
      <c r="H255" s="10"/>
      <c r="I255" s="51">
        <v>1</v>
      </c>
      <c r="K255" s="14">
        <f t="shared" si="12"/>
        <v>1</v>
      </c>
      <c r="L255" s="15">
        <f t="shared" si="10"/>
        <v>0</v>
      </c>
      <c r="M255" s="16">
        <f t="shared" si="11"/>
        <v>1</v>
      </c>
      <c r="N255" s="53">
        <v>1</v>
      </c>
    </row>
    <row r="256" spans="1:25" s="3" customFormat="1" x14ac:dyDescent="0.25">
      <c r="A256" s="19">
        <v>307</v>
      </c>
      <c r="B256" s="31" t="s">
        <v>219</v>
      </c>
      <c r="C256" s="32" t="s">
        <v>228</v>
      </c>
      <c r="D256" s="33" t="s">
        <v>10</v>
      </c>
      <c r="E256" s="29" t="s">
        <v>13</v>
      </c>
      <c r="F256" s="30">
        <v>2</v>
      </c>
      <c r="G256" s="10">
        <v>2</v>
      </c>
      <c r="H256" s="10"/>
      <c r="I256" s="51">
        <v>2</v>
      </c>
      <c r="K256" s="14">
        <f t="shared" si="12"/>
        <v>2</v>
      </c>
      <c r="L256" s="15">
        <f t="shared" si="10"/>
        <v>0</v>
      </c>
      <c r="M256" s="16">
        <f t="shared" si="11"/>
        <v>2</v>
      </c>
      <c r="R256" s="53">
        <v>2</v>
      </c>
    </row>
    <row r="257" spans="1:26" s="3" customFormat="1" x14ac:dyDescent="0.25">
      <c r="A257" s="19">
        <v>308</v>
      </c>
      <c r="B257" s="31" t="s">
        <v>219</v>
      </c>
      <c r="C257" s="32" t="s">
        <v>229</v>
      </c>
      <c r="D257" s="33" t="s">
        <v>10</v>
      </c>
      <c r="E257" s="29" t="s">
        <v>13</v>
      </c>
      <c r="F257" s="30">
        <v>1</v>
      </c>
      <c r="G257" s="10">
        <v>1</v>
      </c>
      <c r="H257" s="10"/>
      <c r="I257" s="51">
        <v>1</v>
      </c>
      <c r="K257" s="14">
        <f t="shared" si="12"/>
        <v>1</v>
      </c>
      <c r="L257" s="15">
        <f t="shared" si="10"/>
        <v>0</v>
      </c>
      <c r="M257" s="16">
        <f t="shared" si="11"/>
        <v>1</v>
      </c>
      <c r="N257" s="54">
        <v>1</v>
      </c>
    </row>
    <row r="258" spans="1:26" s="3" customFormat="1" x14ac:dyDescent="0.25">
      <c r="A258" s="19">
        <v>309</v>
      </c>
      <c r="B258" s="34" t="s">
        <v>219</v>
      </c>
      <c r="C258" s="32" t="s">
        <v>230</v>
      </c>
      <c r="D258" s="33"/>
      <c r="E258" s="29" t="s">
        <v>13</v>
      </c>
      <c r="F258" s="30">
        <v>2</v>
      </c>
      <c r="G258" s="10">
        <v>2</v>
      </c>
      <c r="H258" s="10"/>
      <c r="I258" s="51">
        <v>2</v>
      </c>
      <c r="K258" s="14">
        <f t="shared" si="12"/>
        <v>2</v>
      </c>
      <c r="L258" s="15">
        <f t="shared" si="10"/>
        <v>0</v>
      </c>
      <c r="M258" s="16">
        <f t="shared" si="11"/>
        <v>2</v>
      </c>
      <c r="V258" s="53">
        <v>2</v>
      </c>
    </row>
    <row r="259" spans="1:26" s="3" customFormat="1" x14ac:dyDescent="0.25">
      <c r="A259" s="19">
        <v>310</v>
      </c>
      <c r="B259" s="31" t="s">
        <v>231</v>
      </c>
      <c r="C259" s="32" t="s">
        <v>232</v>
      </c>
      <c r="D259" s="33" t="s">
        <v>11</v>
      </c>
      <c r="E259" s="29" t="s">
        <v>13</v>
      </c>
      <c r="F259" s="30">
        <v>2</v>
      </c>
      <c r="G259" s="10">
        <v>1</v>
      </c>
      <c r="H259" s="10">
        <v>2</v>
      </c>
      <c r="I259" s="51">
        <v>0</v>
      </c>
      <c r="K259" s="14">
        <f t="shared" si="12"/>
        <v>0</v>
      </c>
      <c r="L259" s="15">
        <f t="shared" si="10"/>
        <v>0</v>
      </c>
      <c r="M259" s="16">
        <f t="shared" si="11"/>
        <v>0</v>
      </c>
    </row>
    <row r="260" spans="1:26" s="3" customFormat="1" x14ac:dyDescent="0.25">
      <c r="A260" s="19">
        <v>311</v>
      </c>
      <c r="B260" s="31" t="s">
        <v>231</v>
      </c>
      <c r="C260" s="32" t="s">
        <v>221</v>
      </c>
      <c r="D260" s="33" t="s">
        <v>11</v>
      </c>
      <c r="E260" s="29" t="s">
        <v>13</v>
      </c>
      <c r="F260" s="30">
        <v>7</v>
      </c>
      <c r="G260" s="10">
        <v>6</v>
      </c>
      <c r="H260" s="10"/>
      <c r="I260" s="51">
        <v>7</v>
      </c>
      <c r="K260" s="14">
        <f t="shared" si="12"/>
        <v>7</v>
      </c>
      <c r="L260" s="15">
        <f t="shared" si="10"/>
        <v>0</v>
      </c>
      <c r="M260" s="16">
        <f t="shared" si="11"/>
        <v>7</v>
      </c>
      <c r="N260" s="53">
        <v>7</v>
      </c>
    </row>
    <row r="261" spans="1:26" s="3" customFormat="1" x14ac:dyDescent="0.25">
      <c r="A261" s="19">
        <v>312</v>
      </c>
      <c r="B261" s="31" t="s">
        <v>231</v>
      </c>
      <c r="C261" s="32" t="s">
        <v>222</v>
      </c>
      <c r="D261" s="33" t="s">
        <v>11</v>
      </c>
      <c r="E261" s="29" t="s">
        <v>13</v>
      </c>
      <c r="F261" s="30">
        <v>2</v>
      </c>
      <c r="G261" s="10">
        <v>2</v>
      </c>
      <c r="H261" s="10"/>
      <c r="I261" s="51">
        <v>2</v>
      </c>
      <c r="K261" s="14">
        <f t="shared" si="12"/>
        <v>2</v>
      </c>
      <c r="L261" s="15">
        <f t="shared" ref="L261" si="13">+M261-K261</f>
        <v>0</v>
      </c>
      <c r="M261" s="16">
        <f t="shared" ref="M261:M324" si="14">SUM(N261:EA261)</f>
        <v>2</v>
      </c>
      <c r="N261" s="53">
        <v>2</v>
      </c>
    </row>
    <row r="262" spans="1:26" s="3" customFormat="1" x14ac:dyDescent="0.25">
      <c r="A262" s="36">
        <v>313</v>
      </c>
      <c r="B262" s="37" t="s">
        <v>231</v>
      </c>
      <c r="C262" s="32" t="s">
        <v>233</v>
      </c>
      <c r="D262" s="28"/>
      <c r="E262" s="29" t="s">
        <v>13</v>
      </c>
      <c r="F262" s="30">
        <v>3</v>
      </c>
      <c r="G262" s="10">
        <v>3</v>
      </c>
      <c r="H262" s="10">
        <v>3</v>
      </c>
      <c r="I262" s="49">
        <v>0</v>
      </c>
      <c r="K262" s="14">
        <f t="shared" ref="K262:K325" si="15">SUM(I262:J262)</f>
        <v>0</v>
      </c>
      <c r="L262" s="15">
        <f t="shared" ref="L262:L325" si="16">+M262-K262</f>
        <v>0</v>
      </c>
      <c r="M262" s="16">
        <f t="shared" si="14"/>
        <v>0</v>
      </c>
    </row>
    <row r="263" spans="1:26" x14ac:dyDescent="0.25">
      <c r="A263" s="38">
        <v>314</v>
      </c>
      <c r="B263" s="39" t="s">
        <v>231</v>
      </c>
      <c r="C263" s="40" t="s">
        <v>234</v>
      </c>
      <c r="D263" s="41"/>
      <c r="E263" s="40" t="s">
        <v>13</v>
      </c>
      <c r="F263" s="42">
        <v>3</v>
      </c>
      <c r="G263" s="5">
        <v>3</v>
      </c>
      <c r="I263" s="52">
        <v>3</v>
      </c>
      <c r="J263" s="1">
        <v>2</v>
      </c>
      <c r="K263" s="14">
        <f t="shared" si="15"/>
        <v>5</v>
      </c>
      <c r="L263" s="15">
        <f t="shared" si="16"/>
        <v>0</v>
      </c>
      <c r="M263" s="16">
        <f t="shared" si="14"/>
        <v>5</v>
      </c>
      <c r="R263" s="55">
        <v>3</v>
      </c>
      <c r="Z263" s="55">
        <v>2</v>
      </c>
    </row>
    <row r="264" spans="1:26" x14ac:dyDescent="0.25">
      <c r="A264" s="38">
        <v>315</v>
      </c>
      <c r="B264" s="39" t="s">
        <v>231</v>
      </c>
      <c r="C264" s="40" t="s">
        <v>223</v>
      </c>
      <c r="D264" s="41"/>
      <c r="E264" s="40" t="s">
        <v>13</v>
      </c>
      <c r="F264" s="42">
        <v>6</v>
      </c>
      <c r="G264" s="5">
        <v>6</v>
      </c>
      <c r="I264" s="52">
        <v>6</v>
      </c>
      <c r="K264" s="14">
        <f t="shared" si="15"/>
        <v>6</v>
      </c>
      <c r="L264" s="15">
        <f t="shared" si="16"/>
        <v>0</v>
      </c>
      <c r="M264" s="16">
        <f t="shared" si="14"/>
        <v>6</v>
      </c>
      <c r="N264" s="55">
        <v>6</v>
      </c>
    </row>
    <row r="265" spans="1:26" x14ac:dyDescent="0.25">
      <c r="A265" s="38">
        <v>316</v>
      </c>
      <c r="B265" s="39" t="s">
        <v>231</v>
      </c>
      <c r="C265" s="40" t="s">
        <v>224</v>
      </c>
      <c r="D265" s="41"/>
      <c r="E265" s="40" t="s">
        <v>13</v>
      </c>
      <c r="F265" s="42">
        <v>4</v>
      </c>
      <c r="G265" s="5">
        <v>4</v>
      </c>
      <c r="H265" s="5">
        <v>4</v>
      </c>
      <c r="I265" s="52">
        <v>0</v>
      </c>
      <c r="K265" s="14">
        <f t="shared" si="15"/>
        <v>0</v>
      </c>
      <c r="L265" s="15">
        <f t="shared" si="16"/>
        <v>0</v>
      </c>
      <c r="M265" s="16">
        <f t="shared" si="14"/>
        <v>0</v>
      </c>
    </row>
    <row r="266" spans="1:26" x14ac:dyDescent="0.25">
      <c r="A266" s="38">
        <v>317</v>
      </c>
      <c r="B266" s="39" t="s">
        <v>231</v>
      </c>
      <c r="C266" s="40" t="s">
        <v>225</v>
      </c>
      <c r="D266" s="41"/>
      <c r="E266" s="40" t="s">
        <v>13</v>
      </c>
      <c r="F266" s="42">
        <v>7</v>
      </c>
      <c r="G266" s="5">
        <v>7</v>
      </c>
      <c r="I266" s="52">
        <v>7</v>
      </c>
      <c r="K266" s="14">
        <f t="shared" si="15"/>
        <v>7</v>
      </c>
      <c r="L266" s="15">
        <f t="shared" si="16"/>
        <v>0</v>
      </c>
      <c r="M266" s="16">
        <f t="shared" si="14"/>
        <v>7</v>
      </c>
      <c r="N266" s="55">
        <v>7</v>
      </c>
    </row>
    <row r="267" spans="1:26" x14ac:dyDescent="0.25">
      <c r="A267" s="38">
        <v>318</v>
      </c>
      <c r="B267" s="39" t="s">
        <v>231</v>
      </c>
      <c r="C267" s="40" t="s">
        <v>228</v>
      </c>
      <c r="D267" s="41"/>
      <c r="E267" s="40" t="s">
        <v>13</v>
      </c>
      <c r="F267" s="42">
        <v>1</v>
      </c>
      <c r="G267" s="5">
        <v>1</v>
      </c>
      <c r="H267" s="5">
        <v>1</v>
      </c>
      <c r="I267" s="52">
        <v>0</v>
      </c>
      <c r="K267" s="14">
        <f t="shared" si="15"/>
        <v>0</v>
      </c>
      <c r="L267" s="15">
        <f t="shared" si="16"/>
        <v>0</v>
      </c>
      <c r="M267" s="16">
        <f t="shared" si="14"/>
        <v>0</v>
      </c>
    </row>
    <row r="268" spans="1:26" x14ac:dyDescent="0.25">
      <c r="A268" s="38">
        <v>319</v>
      </c>
      <c r="B268" s="39" t="s">
        <v>231</v>
      </c>
      <c r="C268" s="40" t="s">
        <v>235</v>
      </c>
      <c r="D268" s="41"/>
      <c r="E268" s="40" t="s">
        <v>13</v>
      </c>
      <c r="F268" s="42">
        <v>2</v>
      </c>
      <c r="G268" s="5">
        <v>2</v>
      </c>
      <c r="H268" s="5">
        <v>2</v>
      </c>
      <c r="I268" s="52">
        <v>0</v>
      </c>
      <c r="K268" s="14">
        <f t="shared" si="15"/>
        <v>0</v>
      </c>
      <c r="L268" s="15">
        <f t="shared" si="16"/>
        <v>0</v>
      </c>
      <c r="M268" s="16">
        <f t="shared" si="14"/>
        <v>0</v>
      </c>
    </row>
    <row r="269" spans="1:26" x14ac:dyDescent="0.25">
      <c r="A269" s="38">
        <v>320</v>
      </c>
      <c r="B269" s="39" t="s">
        <v>236</v>
      </c>
      <c r="C269" s="40" t="s">
        <v>237</v>
      </c>
      <c r="D269" s="41"/>
      <c r="E269" s="40" t="s">
        <v>13</v>
      </c>
      <c r="F269" s="42">
        <v>3</v>
      </c>
      <c r="G269" s="5">
        <v>3</v>
      </c>
      <c r="H269" s="5" t="s">
        <v>382</v>
      </c>
      <c r="I269" s="52">
        <v>3</v>
      </c>
      <c r="K269" s="14">
        <f t="shared" si="15"/>
        <v>3</v>
      </c>
      <c r="L269" s="15">
        <f t="shared" si="16"/>
        <v>0</v>
      </c>
      <c r="M269" s="16">
        <f t="shared" si="14"/>
        <v>3</v>
      </c>
      <c r="R269" s="55">
        <v>3</v>
      </c>
    </row>
    <row r="270" spans="1:26" x14ac:dyDescent="0.25">
      <c r="A270" s="38">
        <v>321</v>
      </c>
      <c r="B270" s="39" t="s">
        <v>236</v>
      </c>
      <c r="C270" s="40" t="s">
        <v>238</v>
      </c>
      <c r="D270" s="41"/>
      <c r="E270" s="40" t="s">
        <v>13</v>
      </c>
      <c r="F270" s="42">
        <v>4</v>
      </c>
      <c r="G270" s="5">
        <v>4</v>
      </c>
      <c r="I270" s="52">
        <v>4</v>
      </c>
      <c r="J270" s="1">
        <v>2</v>
      </c>
      <c r="K270" s="14">
        <f t="shared" si="15"/>
        <v>6</v>
      </c>
      <c r="L270" s="15">
        <f t="shared" si="16"/>
        <v>0</v>
      </c>
      <c r="M270" s="16">
        <f t="shared" si="14"/>
        <v>6</v>
      </c>
      <c r="X270" s="55">
        <v>4</v>
      </c>
      <c r="Z270" s="55">
        <v>2</v>
      </c>
    </row>
    <row r="271" spans="1:26" x14ac:dyDescent="0.25">
      <c r="A271" s="38">
        <v>322</v>
      </c>
      <c r="B271" s="39" t="s">
        <v>236</v>
      </c>
      <c r="C271" s="40" t="s">
        <v>239</v>
      </c>
      <c r="D271" s="41"/>
      <c r="E271" s="40" t="s">
        <v>13</v>
      </c>
      <c r="F271" s="42">
        <v>2</v>
      </c>
      <c r="G271" s="5">
        <v>2</v>
      </c>
      <c r="I271" s="52">
        <v>2</v>
      </c>
      <c r="K271" s="14">
        <f t="shared" si="15"/>
        <v>2</v>
      </c>
      <c r="L271" s="15">
        <f t="shared" si="16"/>
        <v>0</v>
      </c>
      <c r="M271" s="16">
        <f t="shared" si="14"/>
        <v>2</v>
      </c>
      <c r="N271" s="55">
        <v>2</v>
      </c>
    </row>
    <row r="272" spans="1:26" x14ac:dyDescent="0.25">
      <c r="A272" s="38">
        <v>323</v>
      </c>
      <c r="B272" s="39" t="s">
        <v>236</v>
      </c>
      <c r="C272" s="40" t="s">
        <v>240</v>
      </c>
      <c r="D272" s="41"/>
      <c r="E272" s="40" t="s">
        <v>13</v>
      </c>
      <c r="F272" s="42">
        <v>2</v>
      </c>
      <c r="G272" s="5">
        <v>2</v>
      </c>
      <c r="H272" s="5">
        <v>1</v>
      </c>
      <c r="I272" s="52">
        <v>1</v>
      </c>
      <c r="K272" s="14">
        <f t="shared" si="15"/>
        <v>1</v>
      </c>
      <c r="L272" s="15">
        <f t="shared" si="16"/>
        <v>0</v>
      </c>
      <c r="M272" s="16">
        <f t="shared" si="14"/>
        <v>1</v>
      </c>
      <c r="X272" s="55">
        <v>1</v>
      </c>
    </row>
    <row r="273" spans="1:24" x14ac:dyDescent="0.25">
      <c r="A273" s="38">
        <v>324</v>
      </c>
      <c r="B273" s="39" t="s">
        <v>236</v>
      </c>
      <c r="C273" s="40" t="s">
        <v>232</v>
      </c>
      <c r="D273" s="41"/>
      <c r="E273" s="40" t="s">
        <v>13</v>
      </c>
      <c r="F273" s="42">
        <v>6</v>
      </c>
      <c r="G273" s="5">
        <v>6</v>
      </c>
      <c r="H273" s="5">
        <v>6</v>
      </c>
      <c r="I273" s="52">
        <v>0</v>
      </c>
      <c r="J273" s="1">
        <v>1</v>
      </c>
      <c r="K273" s="14">
        <f t="shared" si="15"/>
        <v>1</v>
      </c>
      <c r="L273" s="15">
        <f t="shared" si="16"/>
        <v>0</v>
      </c>
      <c r="M273" s="16">
        <f t="shared" si="14"/>
        <v>1</v>
      </c>
      <c r="X273" s="55">
        <v>1</v>
      </c>
    </row>
    <row r="274" spans="1:24" x14ac:dyDescent="0.25">
      <c r="A274" s="38">
        <v>325</v>
      </c>
      <c r="B274" s="39" t="s">
        <v>236</v>
      </c>
      <c r="C274" s="40" t="s">
        <v>221</v>
      </c>
      <c r="D274" s="41"/>
      <c r="E274" s="40" t="s">
        <v>13</v>
      </c>
      <c r="F274" s="42">
        <v>62</v>
      </c>
      <c r="G274" s="5">
        <v>57</v>
      </c>
      <c r="I274" s="52">
        <v>62</v>
      </c>
      <c r="K274" s="14">
        <f t="shared" si="15"/>
        <v>62</v>
      </c>
      <c r="L274" s="15">
        <f t="shared" si="16"/>
        <v>0</v>
      </c>
      <c r="M274" s="16">
        <f t="shared" si="14"/>
        <v>62</v>
      </c>
      <c r="N274" s="55">
        <v>62</v>
      </c>
    </row>
    <row r="275" spans="1:24" x14ac:dyDescent="0.25">
      <c r="A275" s="38">
        <v>326</v>
      </c>
      <c r="B275" s="39" t="s">
        <v>236</v>
      </c>
      <c r="C275" s="40" t="s">
        <v>241</v>
      </c>
      <c r="D275" s="41"/>
      <c r="E275" s="40" t="s">
        <v>13</v>
      </c>
      <c r="F275" s="42">
        <v>4</v>
      </c>
      <c r="G275" s="5">
        <v>4</v>
      </c>
      <c r="H275" s="5">
        <v>2</v>
      </c>
      <c r="I275" s="52">
        <v>2</v>
      </c>
      <c r="K275" s="14">
        <f t="shared" si="15"/>
        <v>2</v>
      </c>
      <c r="L275" s="15">
        <f t="shared" si="16"/>
        <v>0</v>
      </c>
      <c r="M275" s="16">
        <f t="shared" si="14"/>
        <v>2</v>
      </c>
      <c r="N275" s="55">
        <v>2</v>
      </c>
    </row>
    <row r="276" spans="1:24" x14ac:dyDescent="0.25">
      <c r="A276" s="38">
        <v>327</v>
      </c>
      <c r="B276" s="39" t="s">
        <v>236</v>
      </c>
      <c r="C276" s="40" t="s">
        <v>242</v>
      </c>
      <c r="D276" s="41"/>
      <c r="E276" s="40" t="s">
        <v>13</v>
      </c>
      <c r="F276" s="42">
        <v>1</v>
      </c>
      <c r="G276" s="5">
        <v>1</v>
      </c>
      <c r="I276" s="52">
        <v>1</v>
      </c>
      <c r="K276" s="14">
        <f t="shared" si="15"/>
        <v>1</v>
      </c>
      <c r="L276" s="15">
        <f t="shared" si="16"/>
        <v>0</v>
      </c>
      <c r="M276" s="16">
        <f t="shared" si="14"/>
        <v>1</v>
      </c>
      <c r="X276" s="56">
        <v>1</v>
      </c>
    </row>
    <row r="277" spans="1:24" x14ac:dyDescent="0.25">
      <c r="A277" s="38">
        <v>328</v>
      </c>
      <c r="B277" s="39" t="s">
        <v>236</v>
      </c>
      <c r="C277" s="40" t="s">
        <v>243</v>
      </c>
      <c r="D277" s="41"/>
      <c r="E277" s="40" t="s">
        <v>13</v>
      </c>
      <c r="F277" s="42">
        <v>3</v>
      </c>
      <c r="G277" s="5">
        <v>3</v>
      </c>
      <c r="I277" s="52">
        <v>3</v>
      </c>
      <c r="K277" s="14">
        <f t="shared" si="15"/>
        <v>3</v>
      </c>
      <c r="L277" s="15">
        <f t="shared" si="16"/>
        <v>0</v>
      </c>
      <c r="M277" s="16">
        <f t="shared" si="14"/>
        <v>3</v>
      </c>
      <c r="R277" s="55">
        <v>3</v>
      </c>
    </row>
    <row r="278" spans="1:24" x14ac:dyDescent="0.25">
      <c r="A278" s="38">
        <v>329</v>
      </c>
      <c r="B278" s="39" t="s">
        <v>236</v>
      </c>
      <c r="C278" s="40" t="s">
        <v>244</v>
      </c>
      <c r="D278" s="41"/>
      <c r="E278" s="40" t="s">
        <v>13</v>
      </c>
      <c r="F278" s="42">
        <v>3</v>
      </c>
      <c r="G278" s="5">
        <v>3</v>
      </c>
      <c r="H278" s="5">
        <v>3</v>
      </c>
      <c r="I278" s="52">
        <v>0</v>
      </c>
      <c r="K278" s="14">
        <f t="shared" si="15"/>
        <v>0</v>
      </c>
      <c r="L278" s="15">
        <f t="shared" si="16"/>
        <v>0</v>
      </c>
      <c r="M278" s="16">
        <f t="shared" si="14"/>
        <v>0</v>
      </c>
    </row>
    <row r="279" spans="1:24" x14ac:dyDescent="0.25">
      <c r="A279" s="38">
        <v>330</v>
      </c>
      <c r="B279" s="39" t="s">
        <v>236</v>
      </c>
      <c r="C279" s="40" t="s">
        <v>222</v>
      </c>
      <c r="D279" s="41"/>
      <c r="E279" s="40" t="s">
        <v>13</v>
      </c>
      <c r="F279" s="42">
        <v>50</v>
      </c>
      <c r="G279" s="5">
        <v>47</v>
      </c>
      <c r="H279" s="5">
        <v>45</v>
      </c>
      <c r="I279" s="52">
        <v>5</v>
      </c>
      <c r="J279" s="1">
        <v>1</v>
      </c>
      <c r="K279" s="14">
        <f t="shared" si="15"/>
        <v>6</v>
      </c>
      <c r="L279" s="15">
        <f t="shared" si="16"/>
        <v>0</v>
      </c>
      <c r="M279" s="16">
        <f t="shared" si="14"/>
        <v>6</v>
      </c>
      <c r="N279" s="55">
        <v>5</v>
      </c>
      <c r="X279" s="55">
        <v>1</v>
      </c>
    </row>
    <row r="280" spans="1:24" x14ac:dyDescent="0.25">
      <c r="A280" s="38">
        <v>331</v>
      </c>
      <c r="B280" s="39" t="s">
        <v>236</v>
      </c>
      <c r="C280" s="40" t="s">
        <v>233</v>
      </c>
      <c r="D280" s="41"/>
      <c r="E280" s="40" t="s">
        <v>13</v>
      </c>
      <c r="F280" s="42">
        <v>15</v>
      </c>
      <c r="G280" s="5">
        <v>15</v>
      </c>
      <c r="H280" s="5">
        <v>3</v>
      </c>
      <c r="I280" s="52">
        <v>12</v>
      </c>
      <c r="K280" s="14">
        <f t="shared" si="15"/>
        <v>12</v>
      </c>
      <c r="L280" s="15">
        <f t="shared" si="16"/>
        <v>0</v>
      </c>
      <c r="M280" s="16">
        <f t="shared" si="14"/>
        <v>12</v>
      </c>
      <c r="X280" s="55">
        <v>12</v>
      </c>
    </row>
    <row r="281" spans="1:24" x14ac:dyDescent="0.25">
      <c r="A281" s="38">
        <v>332</v>
      </c>
      <c r="B281" s="39" t="s">
        <v>236</v>
      </c>
      <c r="C281" s="40" t="s">
        <v>234</v>
      </c>
      <c r="D281" s="41"/>
      <c r="E281" s="40" t="s">
        <v>13</v>
      </c>
      <c r="F281" s="42">
        <v>63</v>
      </c>
      <c r="G281" s="5">
        <v>60</v>
      </c>
      <c r="I281" s="52">
        <v>63</v>
      </c>
      <c r="K281" s="14">
        <f t="shared" si="15"/>
        <v>63</v>
      </c>
      <c r="L281" s="15">
        <f t="shared" si="16"/>
        <v>0</v>
      </c>
      <c r="M281" s="16">
        <f t="shared" si="14"/>
        <v>63</v>
      </c>
      <c r="N281" s="55">
        <v>63</v>
      </c>
    </row>
    <row r="282" spans="1:24" x14ac:dyDescent="0.25">
      <c r="A282" s="38">
        <v>333</v>
      </c>
      <c r="B282" s="39" t="s">
        <v>236</v>
      </c>
      <c r="C282" s="40" t="s">
        <v>223</v>
      </c>
      <c r="D282" s="41"/>
      <c r="E282" s="40" t="s">
        <v>13</v>
      </c>
      <c r="F282" s="42">
        <v>107</v>
      </c>
      <c r="G282" s="5">
        <v>107</v>
      </c>
      <c r="H282" s="5">
        <v>1</v>
      </c>
      <c r="I282" s="52">
        <v>106</v>
      </c>
      <c r="K282" s="14">
        <f t="shared" si="15"/>
        <v>106</v>
      </c>
      <c r="L282" s="15">
        <f t="shared" si="16"/>
        <v>0</v>
      </c>
      <c r="M282" s="16">
        <f t="shared" si="14"/>
        <v>106</v>
      </c>
      <c r="X282" s="55">
        <v>106</v>
      </c>
    </row>
    <row r="283" spans="1:24" x14ac:dyDescent="0.25">
      <c r="A283" s="38">
        <v>334</v>
      </c>
      <c r="B283" s="39" t="s">
        <v>236</v>
      </c>
      <c r="C283" s="40" t="s">
        <v>227</v>
      </c>
      <c r="D283" s="41"/>
      <c r="E283" s="40" t="s">
        <v>13</v>
      </c>
      <c r="F283" s="42">
        <v>8</v>
      </c>
      <c r="G283" s="5">
        <v>8</v>
      </c>
      <c r="I283" s="52">
        <v>8</v>
      </c>
      <c r="K283" s="14">
        <f t="shared" si="15"/>
        <v>8</v>
      </c>
      <c r="L283" s="15">
        <f t="shared" si="16"/>
        <v>0</v>
      </c>
      <c r="M283" s="16">
        <f t="shared" si="14"/>
        <v>8</v>
      </c>
      <c r="V283" s="55">
        <v>8</v>
      </c>
    </row>
    <row r="284" spans="1:24" x14ac:dyDescent="0.25">
      <c r="A284" s="38">
        <v>335</v>
      </c>
      <c r="B284" s="39" t="s">
        <v>236</v>
      </c>
      <c r="C284" s="40" t="s">
        <v>224</v>
      </c>
      <c r="D284" s="41"/>
      <c r="E284" s="40" t="s">
        <v>13</v>
      </c>
      <c r="F284" s="42">
        <v>12</v>
      </c>
      <c r="G284" s="5">
        <v>12</v>
      </c>
      <c r="I284" s="52">
        <v>12</v>
      </c>
      <c r="K284" s="14">
        <f t="shared" si="15"/>
        <v>12</v>
      </c>
      <c r="L284" s="15">
        <f t="shared" si="16"/>
        <v>0</v>
      </c>
      <c r="M284" s="16">
        <f t="shared" si="14"/>
        <v>12</v>
      </c>
      <c r="N284" s="55">
        <v>12</v>
      </c>
    </row>
    <row r="285" spans="1:24" x14ac:dyDescent="0.25">
      <c r="A285" s="38">
        <v>336</v>
      </c>
      <c r="B285" s="39" t="s">
        <v>236</v>
      </c>
      <c r="C285" s="40" t="s">
        <v>225</v>
      </c>
      <c r="D285" s="41"/>
      <c r="E285" s="40" t="s">
        <v>13</v>
      </c>
      <c r="F285" s="42">
        <v>56</v>
      </c>
      <c r="G285" s="5">
        <v>51</v>
      </c>
      <c r="H285" s="5">
        <v>5</v>
      </c>
      <c r="I285" s="52">
        <v>51</v>
      </c>
      <c r="K285" s="14">
        <f t="shared" si="15"/>
        <v>51</v>
      </c>
      <c r="L285" s="15">
        <f t="shared" si="16"/>
        <v>0</v>
      </c>
      <c r="M285" s="16">
        <f t="shared" si="14"/>
        <v>51</v>
      </c>
      <c r="X285" s="55">
        <v>51</v>
      </c>
    </row>
    <row r="286" spans="1:24" x14ac:dyDescent="0.25">
      <c r="A286" s="38">
        <v>337</v>
      </c>
      <c r="B286" s="39" t="s">
        <v>236</v>
      </c>
      <c r="C286" s="40" t="s">
        <v>228</v>
      </c>
      <c r="D286" s="41"/>
      <c r="E286" s="40" t="s">
        <v>13</v>
      </c>
      <c r="F286" s="42">
        <v>38</v>
      </c>
      <c r="G286" s="5">
        <v>38</v>
      </c>
      <c r="H286" s="5">
        <v>4</v>
      </c>
      <c r="I286" s="52">
        <v>34</v>
      </c>
      <c r="J286" s="1">
        <v>8</v>
      </c>
      <c r="K286" s="14">
        <f t="shared" si="15"/>
        <v>42</v>
      </c>
      <c r="L286" s="15">
        <f t="shared" si="16"/>
        <v>0</v>
      </c>
      <c r="M286" s="16">
        <f t="shared" si="14"/>
        <v>42</v>
      </c>
      <c r="X286" s="55">
        <f>34+8</f>
        <v>42</v>
      </c>
    </row>
    <row r="287" spans="1:24" x14ac:dyDescent="0.25">
      <c r="A287" s="38">
        <v>338</v>
      </c>
      <c r="B287" s="39" t="s">
        <v>236</v>
      </c>
      <c r="C287" s="40" t="s">
        <v>245</v>
      </c>
      <c r="D287" s="41"/>
      <c r="E287" s="40" t="s">
        <v>13</v>
      </c>
      <c r="F287" s="42">
        <v>4</v>
      </c>
      <c r="G287" s="5">
        <v>4</v>
      </c>
      <c r="I287" s="52">
        <v>4</v>
      </c>
      <c r="K287" s="14">
        <f t="shared" si="15"/>
        <v>4</v>
      </c>
      <c r="L287" s="15">
        <f t="shared" si="16"/>
        <v>0</v>
      </c>
      <c r="M287" s="16">
        <f t="shared" si="14"/>
        <v>4</v>
      </c>
      <c r="N287" s="55">
        <v>4</v>
      </c>
    </row>
    <row r="288" spans="1:24" x14ac:dyDescent="0.25">
      <c r="A288" s="38">
        <v>339</v>
      </c>
      <c r="B288" s="39" t="s">
        <v>236</v>
      </c>
      <c r="C288" s="40" t="s">
        <v>235</v>
      </c>
      <c r="D288" s="41"/>
      <c r="E288" s="40" t="s">
        <v>13</v>
      </c>
      <c r="F288" s="42">
        <v>12</v>
      </c>
      <c r="G288" s="5">
        <v>12</v>
      </c>
      <c r="I288" s="52">
        <v>12</v>
      </c>
      <c r="K288" s="14">
        <f t="shared" si="15"/>
        <v>12</v>
      </c>
      <c r="L288" s="15">
        <f t="shared" si="16"/>
        <v>0</v>
      </c>
      <c r="M288" s="16">
        <f t="shared" si="14"/>
        <v>12</v>
      </c>
      <c r="N288" s="56">
        <v>12</v>
      </c>
    </row>
    <row r="289" spans="1:24" x14ac:dyDescent="0.25">
      <c r="A289" s="38">
        <v>340</v>
      </c>
      <c r="B289" s="39" t="s">
        <v>236</v>
      </c>
      <c r="C289" s="40" t="s">
        <v>229</v>
      </c>
      <c r="D289" s="41"/>
      <c r="E289" s="40" t="s">
        <v>13</v>
      </c>
      <c r="F289" s="42">
        <v>16</v>
      </c>
      <c r="G289" s="5">
        <v>16</v>
      </c>
      <c r="I289" s="52">
        <v>16</v>
      </c>
      <c r="K289" s="14">
        <f t="shared" si="15"/>
        <v>16</v>
      </c>
      <c r="L289" s="15">
        <f t="shared" si="16"/>
        <v>0</v>
      </c>
      <c r="M289" s="16">
        <f t="shared" si="14"/>
        <v>16</v>
      </c>
      <c r="X289" s="55">
        <v>16</v>
      </c>
    </row>
    <row r="290" spans="1:24" x14ac:dyDescent="0.25">
      <c r="A290" s="38">
        <v>341</v>
      </c>
      <c r="B290" s="39" t="s">
        <v>236</v>
      </c>
      <c r="C290" s="40" t="s">
        <v>246</v>
      </c>
      <c r="D290" s="41"/>
      <c r="E290" s="40" t="s">
        <v>13</v>
      </c>
      <c r="F290" s="42">
        <v>12</v>
      </c>
      <c r="G290" s="5">
        <v>12</v>
      </c>
      <c r="I290" s="52">
        <v>12</v>
      </c>
      <c r="K290" s="14">
        <f t="shared" si="15"/>
        <v>12</v>
      </c>
      <c r="L290" s="15">
        <f t="shared" si="16"/>
        <v>0</v>
      </c>
      <c r="M290" s="16">
        <f t="shared" si="14"/>
        <v>12</v>
      </c>
      <c r="X290" s="55">
        <v>12</v>
      </c>
    </row>
    <row r="291" spans="1:24" x14ac:dyDescent="0.25">
      <c r="A291" s="38">
        <v>342</v>
      </c>
      <c r="B291" s="39" t="s">
        <v>236</v>
      </c>
      <c r="C291" s="40" t="s">
        <v>247</v>
      </c>
      <c r="D291" s="41"/>
      <c r="E291" s="40" t="s">
        <v>13</v>
      </c>
      <c r="F291" s="42">
        <v>8</v>
      </c>
      <c r="G291" s="5">
        <v>8</v>
      </c>
      <c r="I291" s="52">
        <v>8</v>
      </c>
      <c r="K291" s="14">
        <f t="shared" si="15"/>
        <v>8</v>
      </c>
      <c r="L291" s="15">
        <f t="shared" si="16"/>
        <v>0</v>
      </c>
      <c r="M291" s="16">
        <f t="shared" si="14"/>
        <v>8</v>
      </c>
      <c r="R291" s="55">
        <v>8</v>
      </c>
    </row>
    <row r="292" spans="1:24" x14ac:dyDescent="0.25">
      <c r="A292" s="38">
        <v>343</v>
      </c>
      <c r="B292" s="39" t="s">
        <v>236</v>
      </c>
      <c r="C292" s="40" t="s">
        <v>230</v>
      </c>
      <c r="D292" s="41"/>
      <c r="E292" s="40" t="s">
        <v>13</v>
      </c>
      <c r="F292" s="42">
        <v>3</v>
      </c>
      <c r="G292" s="5">
        <v>3</v>
      </c>
      <c r="I292" s="52">
        <v>3</v>
      </c>
      <c r="K292" s="14">
        <f t="shared" si="15"/>
        <v>3</v>
      </c>
      <c r="L292" s="15">
        <f t="shared" si="16"/>
        <v>0</v>
      </c>
      <c r="M292" s="16">
        <f t="shared" si="14"/>
        <v>3</v>
      </c>
      <c r="N292" s="55">
        <v>3</v>
      </c>
    </row>
    <row r="293" spans="1:24" x14ac:dyDescent="0.25">
      <c r="A293" s="38">
        <v>344</v>
      </c>
      <c r="B293" s="39" t="s">
        <v>248</v>
      </c>
      <c r="C293" s="40" t="s">
        <v>249</v>
      </c>
      <c r="D293" s="41"/>
      <c r="E293" s="40" t="s">
        <v>13</v>
      </c>
      <c r="F293" s="42">
        <v>1</v>
      </c>
      <c r="G293" s="5">
        <v>1</v>
      </c>
      <c r="I293" s="52">
        <v>1</v>
      </c>
      <c r="K293" s="14">
        <f t="shared" si="15"/>
        <v>1</v>
      </c>
      <c r="L293" s="15">
        <f t="shared" si="16"/>
        <v>0</v>
      </c>
      <c r="M293" s="16">
        <f t="shared" si="14"/>
        <v>1</v>
      </c>
      <c r="X293" s="55">
        <v>1</v>
      </c>
    </row>
    <row r="294" spans="1:24" x14ac:dyDescent="0.25">
      <c r="A294" s="38">
        <v>345</v>
      </c>
      <c r="B294" s="39" t="s">
        <v>248</v>
      </c>
      <c r="C294" s="40" t="s">
        <v>221</v>
      </c>
      <c r="D294" s="41"/>
      <c r="E294" s="40" t="s">
        <v>13</v>
      </c>
      <c r="F294" s="42">
        <v>4</v>
      </c>
      <c r="G294" s="5">
        <v>4</v>
      </c>
      <c r="I294" s="52">
        <v>4</v>
      </c>
      <c r="K294" s="14">
        <f t="shared" si="15"/>
        <v>4</v>
      </c>
      <c r="L294" s="15">
        <f t="shared" si="16"/>
        <v>0</v>
      </c>
      <c r="M294" s="16">
        <f t="shared" si="14"/>
        <v>4</v>
      </c>
      <c r="V294" s="55">
        <v>4</v>
      </c>
    </row>
    <row r="295" spans="1:24" x14ac:dyDescent="0.25">
      <c r="A295" s="38">
        <v>346</v>
      </c>
      <c r="B295" s="39" t="s">
        <v>248</v>
      </c>
      <c r="C295" s="40" t="s">
        <v>234</v>
      </c>
      <c r="D295" s="41"/>
      <c r="E295" s="40" t="s">
        <v>13</v>
      </c>
      <c r="F295" s="42">
        <v>1</v>
      </c>
      <c r="G295" s="5">
        <v>1</v>
      </c>
      <c r="H295" s="5">
        <v>1</v>
      </c>
      <c r="I295" s="52">
        <v>0</v>
      </c>
      <c r="K295" s="14">
        <f t="shared" si="15"/>
        <v>0</v>
      </c>
      <c r="L295" s="15">
        <f t="shared" si="16"/>
        <v>0</v>
      </c>
      <c r="M295" s="16">
        <f t="shared" si="14"/>
        <v>0</v>
      </c>
    </row>
    <row r="296" spans="1:24" x14ac:dyDescent="0.25">
      <c r="A296" s="38">
        <v>347</v>
      </c>
      <c r="B296" s="39" t="s">
        <v>248</v>
      </c>
      <c r="C296" s="40" t="s">
        <v>223</v>
      </c>
      <c r="D296" s="41"/>
      <c r="E296" s="40" t="s">
        <v>13</v>
      </c>
      <c r="F296" s="42">
        <v>5</v>
      </c>
      <c r="G296" s="5">
        <v>5</v>
      </c>
      <c r="H296" s="5">
        <v>1</v>
      </c>
      <c r="I296" s="52">
        <v>4</v>
      </c>
      <c r="K296" s="14">
        <f t="shared" si="15"/>
        <v>4</v>
      </c>
      <c r="L296" s="15">
        <f t="shared" si="16"/>
        <v>0</v>
      </c>
      <c r="M296" s="16">
        <f t="shared" si="14"/>
        <v>4</v>
      </c>
      <c r="N296" s="55">
        <v>4</v>
      </c>
    </row>
    <row r="297" spans="1:24" x14ac:dyDescent="0.25">
      <c r="A297" s="38">
        <v>348</v>
      </c>
      <c r="B297" s="39" t="s">
        <v>248</v>
      </c>
      <c r="C297" s="40" t="s">
        <v>228</v>
      </c>
      <c r="D297" s="41"/>
      <c r="E297" s="40" t="s">
        <v>13</v>
      </c>
      <c r="F297" s="42">
        <v>1</v>
      </c>
      <c r="G297" s="5">
        <v>1</v>
      </c>
      <c r="I297" s="52">
        <v>1</v>
      </c>
      <c r="K297" s="14">
        <f t="shared" si="15"/>
        <v>1</v>
      </c>
      <c r="L297" s="15">
        <f t="shared" si="16"/>
        <v>0</v>
      </c>
      <c r="M297" s="16">
        <f t="shared" si="14"/>
        <v>1</v>
      </c>
      <c r="N297" s="55">
        <v>1</v>
      </c>
    </row>
    <row r="298" spans="1:24" x14ac:dyDescent="0.25">
      <c r="A298" s="38">
        <v>349</v>
      </c>
      <c r="B298" s="39" t="s">
        <v>248</v>
      </c>
      <c r="C298" s="40" t="s">
        <v>246</v>
      </c>
      <c r="D298" s="41"/>
      <c r="E298" s="40" t="s">
        <v>13</v>
      </c>
      <c r="F298" s="42">
        <v>1</v>
      </c>
      <c r="G298" s="5">
        <v>1</v>
      </c>
      <c r="I298" s="52">
        <v>1</v>
      </c>
      <c r="K298" s="14">
        <f t="shared" si="15"/>
        <v>1</v>
      </c>
      <c r="L298" s="15">
        <f t="shared" si="16"/>
        <v>0</v>
      </c>
      <c r="M298" s="16">
        <f t="shared" si="14"/>
        <v>1</v>
      </c>
      <c r="X298" s="55">
        <v>1</v>
      </c>
    </row>
    <row r="299" spans="1:24" x14ac:dyDescent="0.25">
      <c r="A299" s="38">
        <v>350</v>
      </c>
      <c r="B299" s="39" t="s">
        <v>250</v>
      </c>
      <c r="C299" s="40" t="s">
        <v>251</v>
      </c>
      <c r="D299" s="41"/>
      <c r="E299" s="40" t="s">
        <v>13</v>
      </c>
      <c r="F299" s="42">
        <v>1</v>
      </c>
      <c r="G299" s="5">
        <v>1</v>
      </c>
      <c r="I299" s="52">
        <v>1</v>
      </c>
      <c r="K299" s="14">
        <f t="shared" si="15"/>
        <v>1</v>
      </c>
      <c r="L299" s="15">
        <f t="shared" si="16"/>
        <v>0</v>
      </c>
      <c r="M299" s="16">
        <f t="shared" si="14"/>
        <v>1</v>
      </c>
      <c r="N299" s="55">
        <v>1</v>
      </c>
    </row>
    <row r="300" spans="1:24" x14ac:dyDescent="0.25">
      <c r="A300" s="38">
        <v>351</v>
      </c>
      <c r="B300" s="39" t="s">
        <v>250</v>
      </c>
      <c r="C300" s="40" t="s">
        <v>252</v>
      </c>
      <c r="D300" s="41"/>
      <c r="E300" s="40" t="s">
        <v>13</v>
      </c>
      <c r="F300" s="42">
        <v>8</v>
      </c>
      <c r="G300" s="5">
        <v>8</v>
      </c>
      <c r="I300" s="52">
        <v>8</v>
      </c>
      <c r="K300" s="14">
        <f t="shared" si="15"/>
        <v>8</v>
      </c>
      <c r="L300" s="15">
        <f t="shared" si="16"/>
        <v>0</v>
      </c>
      <c r="M300" s="16">
        <f t="shared" si="14"/>
        <v>8</v>
      </c>
      <c r="N300" s="55">
        <v>8</v>
      </c>
    </row>
    <row r="301" spans="1:24" x14ac:dyDescent="0.25">
      <c r="A301" s="38">
        <v>352</v>
      </c>
      <c r="B301" s="39" t="s">
        <v>250</v>
      </c>
      <c r="C301" s="40" t="s">
        <v>253</v>
      </c>
      <c r="D301" s="41"/>
      <c r="E301" s="40" t="s">
        <v>13</v>
      </c>
      <c r="F301" s="42">
        <v>1</v>
      </c>
      <c r="G301" s="5">
        <v>1</v>
      </c>
      <c r="I301" s="52">
        <v>1</v>
      </c>
      <c r="K301" s="14">
        <f t="shared" si="15"/>
        <v>1</v>
      </c>
      <c r="L301" s="15">
        <f t="shared" si="16"/>
        <v>0</v>
      </c>
      <c r="M301" s="16">
        <f t="shared" si="14"/>
        <v>1</v>
      </c>
      <c r="N301" s="55">
        <v>1</v>
      </c>
    </row>
    <row r="302" spans="1:24" x14ac:dyDescent="0.25">
      <c r="A302" s="38">
        <v>353</v>
      </c>
      <c r="B302" s="39" t="s">
        <v>250</v>
      </c>
      <c r="C302" s="40" t="s">
        <v>254</v>
      </c>
      <c r="D302" s="41"/>
      <c r="E302" s="40" t="s">
        <v>13</v>
      </c>
      <c r="F302" s="42">
        <v>7</v>
      </c>
      <c r="G302" s="5">
        <v>5</v>
      </c>
      <c r="I302" s="52">
        <v>7</v>
      </c>
      <c r="K302" s="14">
        <f t="shared" si="15"/>
        <v>7</v>
      </c>
      <c r="L302" s="15">
        <f t="shared" si="16"/>
        <v>0</v>
      </c>
      <c r="M302" s="16">
        <f t="shared" si="14"/>
        <v>7</v>
      </c>
      <c r="X302" s="55">
        <v>7</v>
      </c>
    </row>
    <row r="303" spans="1:24" x14ac:dyDescent="0.25">
      <c r="A303" s="38">
        <v>354</v>
      </c>
      <c r="B303" s="39" t="s">
        <v>255</v>
      </c>
      <c r="C303" s="40" t="s">
        <v>256</v>
      </c>
      <c r="D303" s="41"/>
      <c r="E303" s="40" t="s">
        <v>13</v>
      </c>
      <c r="F303" s="42">
        <v>1</v>
      </c>
      <c r="G303" s="5">
        <v>1</v>
      </c>
      <c r="I303" s="52">
        <v>1</v>
      </c>
      <c r="K303" s="14">
        <f t="shared" si="15"/>
        <v>1</v>
      </c>
      <c r="L303" s="15">
        <f t="shared" si="16"/>
        <v>0</v>
      </c>
      <c r="M303" s="16">
        <f t="shared" si="14"/>
        <v>1</v>
      </c>
      <c r="N303" s="55">
        <v>1</v>
      </c>
    </row>
    <row r="304" spans="1:24" x14ac:dyDescent="0.25">
      <c r="A304" s="38">
        <v>355</v>
      </c>
      <c r="B304" s="39" t="s">
        <v>255</v>
      </c>
      <c r="C304" s="40" t="s">
        <v>257</v>
      </c>
      <c r="D304" s="41"/>
      <c r="E304" s="40" t="s">
        <v>13</v>
      </c>
      <c r="F304" s="42">
        <v>2</v>
      </c>
      <c r="G304" s="5">
        <v>2</v>
      </c>
      <c r="I304" s="52">
        <v>2</v>
      </c>
      <c r="K304" s="14">
        <f t="shared" si="15"/>
        <v>2</v>
      </c>
      <c r="L304" s="15">
        <f t="shared" si="16"/>
        <v>0</v>
      </c>
      <c r="M304" s="16">
        <f t="shared" si="14"/>
        <v>2</v>
      </c>
      <c r="X304" s="55">
        <v>2</v>
      </c>
    </row>
    <row r="305" spans="1:34" ht="33" x14ac:dyDescent="0.25">
      <c r="A305" s="38">
        <v>356</v>
      </c>
      <c r="B305" s="39" t="s">
        <v>258</v>
      </c>
      <c r="C305" s="40" t="s">
        <v>259</v>
      </c>
      <c r="D305" s="41"/>
      <c r="E305" s="40" t="s">
        <v>15</v>
      </c>
      <c r="F305" s="42">
        <v>1</v>
      </c>
      <c r="G305" s="5">
        <v>1</v>
      </c>
      <c r="I305" s="52">
        <v>1</v>
      </c>
      <c r="K305" s="14">
        <f t="shared" si="15"/>
        <v>1</v>
      </c>
      <c r="L305" s="15">
        <f t="shared" si="16"/>
        <v>0</v>
      </c>
      <c r="M305" s="16">
        <f t="shared" si="14"/>
        <v>1</v>
      </c>
      <c r="AD305" s="55">
        <v>1</v>
      </c>
    </row>
    <row r="306" spans="1:34" x14ac:dyDescent="0.25">
      <c r="A306" s="38">
        <v>357</v>
      </c>
      <c r="B306" s="39" t="s">
        <v>260</v>
      </c>
      <c r="C306" s="40" t="s">
        <v>261</v>
      </c>
      <c r="D306" s="41"/>
      <c r="E306" s="40" t="s">
        <v>15</v>
      </c>
      <c r="F306" s="42">
        <v>2</v>
      </c>
      <c r="G306" s="5">
        <v>1</v>
      </c>
      <c r="I306" s="52">
        <v>2</v>
      </c>
      <c r="K306" s="14">
        <f t="shared" si="15"/>
        <v>2</v>
      </c>
      <c r="L306" s="15">
        <f t="shared" si="16"/>
        <v>0</v>
      </c>
      <c r="M306" s="16">
        <f t="shared" si="14"/>
        <v>2</v>
      </c>
      <c r="Y306" s="55">
        <v>2</v>
      </c>
    </row>
    <row r="307" spans="1:34" x14ac:dyDescent="0.25">
      <c r="A307" s="38" t="s">
        <v>262</v>
      </c>
      <c r="B307" s="39" t="s">
        <v>263</v>
      </c>
      <c r="C307" s="40" t="s">
        <v>259</v>
      </c>
      <c r="D307" s="41"/>
      <c r="E307" s="40" t="s">
        <v>15</v>
      </c>
      <c r="F307" s="42">
        <v>2</v>
      </c>
      <c r="G307" s="5">
        <v>0</v>
      </c>
      <c r="I307" s="52">
        <v>2</v>
      </c>
      <c r="K307" s="14">
        <f t="shared" si="15"/>
        <v>2</v>
      </c>
      <c r="L307" s="15">
        <f t="shared" si="16"/>
        <v>0</v>
      </c>
      <c r="M307" s="16">
        <f t="shared" si="14"/>
        <v>2</v>
      </c>
      <c r="Y307" s="55">
        <v>2</v>
      </c>
    </row>
    <row r="308" spans="1:34" x14ac:dyDescent="0.25">
      <c r="A308" s="38">
        <v>358</v>
      </c>
      <c r="B308" s="39" t="s">
        <v>263</v>
      </c>
      <c r="C308" s="40" t="s">
        <v>264</v>
      </c>
      <c r="D308" s="41"/>
      <c r="E308" s="40" t="s">
        <v>15</v>
      </c>
      <c r="F308" s="42">
        <v>1</v>
      </c>
      <c r="G308" s="5">
        <v>1</v>
      </c>
      <c r="I308" s="52">
        <v>1</v>
      </c>
      <c r="K308" s="14">
        <f t="shared" si="15"/>
        <v>1</v>
      </c>
      <c r="L308" s="15">
        <f t="shared" si="16"/>
        <v>0</v>
      </c>
      <c r="M308" s="16">
        <f t="shared" si="14"/>
        <v>1</v>
      </c>
      <c r="Y308" s="55">
        <v>1</v>
      </c>
    </row>
    <row r="309" spans="1:34" x14ac:dyDescent="0.25">
      <c r="A309" s="38">
        <v>359</v>
      </c>
      <c r="B309" s="39" t="s">
        <v>265</v>
      </c>
      <c r="C309" s="40" t="s">
        <v>259</v>
      </c>
      <c r="D309" s="41"/>
      <c r="E309" s="40" t="s">
        <v>15</v>
      </c>
      <c r="F309" s="42">
        <v>15</v>
      </c>
      <c r="G309" s="5">
        <v>21</v>
      </c>
      <c r="H309" s="5">
        <v>3</v>
      </c>
      <c r="I309" s="52">
        <v>18</v>
      </c>
      <c r="J309" s="1">
        <v>2</v>
      </c>
      <c r="K309" s="14">
        <f t="shared" si="15"/>
        <v>20</v>
      </c>
      <c r="L309" s="15">
        <f t="shared" si="16"/>
        <v>0</v>
      </c>
      <c r="M309" s="16">
        <f t="shared" si="14"/>
        <v>20</v>
      </c>
      <c r="Y309" s="55">
        <v>18</v>
      </c>
      <c r="AH309" s="56">
        <v>2</v>
      </c>
    </row>
    <row r="310" spans="1:34" x14ac:dyDescent="0.25">
      <c r="A310" s="38">
        <v>360</v>
      </c>
      <c r="B310" s="39" t="s">
        <v>265</v>
      </c>
      <c r="C310" s="40" t="s">
        <v>264</v>
      </c>
      <c r="D310" s="41"/>
      <c r="E310" s="40" t="s">
        <v>15</v>
      </c>
      <c r="F310" s="42">
        <v>3</v>
      </c>
      <c r="G310" s="5">
        <v>1</v>
      </c>
      <c r="H310" s="5">
        <v>3</v>
      </c>
      <c r="I310" s="52">
        <v>0</v>
      </c>
      <c r="K310" s="14">
        <f t="shared" si="15"/>
        <v>0</v>
      </c>
      <c r="L310" s="15">
        <f t="shared" si="16"/>
        <v>0</v>
      </c>
      <c r="M310" s="16">
        <f t="shared" si="14"/>
        <v>0</v>
      </c>
    </row>
    <row r="311" spans="1:34" x14ac:dyDescent="0.25">
      <c r="A311" s="38">
        <v>361</v>
      </c>
      <c r="B311" s="39" t="s">
        <v>265</v>
      </c>
      <c r="C311" s="40" t="s">
        <v>266</v>
      </c>
      <c r="D311" s="41"/>
      <c r="E311" s="40" t="s">
        <v>15</v>
      </c>
      <c r="F311" s="42">
        <v>2</v>
      </c>
      <c r="G311" s="5">
        <v>3</v>
      </c>
      <c r="I311" s="52">
        <v>3</v>
      </c>
      <c r="K311" s="14">
        <f t="shared" si="15"/>
        <v>3</v>
      </c>
      <c r="L311" s="15">
        <f t="shared" si="16"/>
        <v>0</v>
      </c>
      <c r="M311" s="16">
        <f t="shared" si="14"/>
        <v>3</v>
      </c>
      <c r="AA311" s="55">
        <v>3</v>
      </c>
    </row>
    <row r="312" spans="1:34" x14ac:dyDescent="0.25">
      <c r="A312" s="38">
        <v>362</v>
      </c>
      <c r="B312" s="39" t="s">
        <v>265</v>
      </c>
      <c r="C312" s="40" t="s">
        <v>261</v>
      </c>
      <c r="D312" s="41"/>
      <c r="E312" s="40" t="s">
        <v>15</v>
      </c>
      <c r="F312" s="42">
        <v>4</v>
      </c>
      <c r="G312" s="5">
        <v>3</v>
      </c>
      <c r="H312" s="5">
        <v>1</v>
      </c>
      <c r="I312" s="52">
        <v>3</v>
      </c>
      <c r="J312" s="1">
        <v>3</v>
      </c>
      <c r="K312" s="14">
        <f t="shared" si="15"/>
        <v>6</v>
      </c>
      <c r="L312" s="15">
        <f t="shared" si="16"/>
        <v>0</v>
      </c>
      <c r="M312" s="16">
        <f t="shared" si="14"/>
        <v>6</v>
      </c>
      <c r="U312" s="55">
        <v>3</v>
      </c>
      <c r="AH312" s="56">
        <v>3</v>
      </c>
    </row>
    <row r="313" spans="1:34" x14ac:dyDescent="0.25">
      <c r="A313" s="38">
        <v>363</v>
      </c>
      <c r="B313" s="39" t="s">
        <v>265</v>
      </c>
      <c r="C313" s="40" t="s">
        <v>267</v>
      </c>
      <c r="D313" s="41"/>
      <c r="E313" s="40" t="s">
        <v>15</v>
      </c>
      <c r="F313" s="42">
        <v>3</v>
      </c>
      <c r="G313" s="5">
        <v>3</v>
      </c>
      <c r="I313" s="52">
        <v>3</v>
      </c>
      <c r="K313" s="14">
        <f t="shared" si="15"/>
        <v>3</v>
      </c>
      <c r="L313" s="15">
        <f t="shared" si="16"/>
        <v>0</v>
      </c>
      <c r="M313" s="16">
        <f t="shared" si="14"/>
        <v>3</v>
      </c>
      <c r="Y313" s="55">
        <v>3</v>
      </c>
    </row>
    <row r="314" spans="1:34" x14ac:dyDescent="0.25">
      <c r="A314" s="38">
        <v>364</v>
      </c>
      <c r="B314" s="39" t="s">
        <v>268</v>
      </c>
      <c r="C314" s="40" t="s">
        <v>264</v>
      </c>
      <c r="D314" s="41"/>
      <c r="E314" s="40" t="s">
        <v>15</v>
      </c>
      <c r="F314" s="42">
        <v>2</v>
      </c>
      <c r="G314" s="5">
        <v>2</v>
      </c>
      <c r="I314" s="52">
        <v>2</v>
      </c>
      <c r="K314" s="14">
        <f t="shared" si="15"/>
        <v>2</v>
      </c>
      <c r="L314" s="15">
        <f t="shared" si="16"/>
        <v>0</v>
      </c>
      <c r="M314" s="16">
        <f t="shared" si="14"/>
        <v>2</v>
      </c>
      <c r="U314" s="55">
        <v>2</v>
      </c>
    </row>
    <row r="315" spans="1:34" ht="33" x14ac:dyDescent="0.25">
      <c r="A315" s="38">
        <v>365</v>
      </c>
      <c r="B315" s="39" t="s">
        <v>269</v>
      </c>
      <c r="C315" s="40" t="s">
        <v>270</v>
      </c>
      <c r="D315" s="41"/>
      <c r="E315" s="40" t="s">
        <v>15</v>
      </c>
      <c r="F315" s="42">
        <v>2</v>
      </c>
      <c r="G315" s="5">
        <v>2</v>
      </c>
      <c r="H315" s="5">
        <v>1</v>
      </c>
      <c r="I315" s="52">
        <v>1</v>
      </c>
      <c r="K315" s="14">
        <f t="shared" si="15"/>
        <v>1</v>
      </c>
      <c r="L315" s="15">
        <f t="shared" si="16"/>
        <v>0</v>
      </c>
      <c r="M315" s="16">
        <f t="shared" si="14"/>
        <v>1</v>
      </c>
      <c r="AH315" s="55">
        <v>1</v>
      </c>
    </row>
    <row r="316" spans="1:34" x14ac:dyDescent="0.25">
      <c r="A316" s="38">
        <v>366</v>
      </c>
      <c r="B316" s="39" t="s">
        <v>271</v>
      </c>
      <c r="C316" s="40" t="s">
        <v>272</v>
      </c>
      <c r="D316" s="41"/>
      <c r="E316" s="40" t="s">
        <v>15</v>
      </c>
      <c r="F316" s="42">
        <v>2</v>
      </c>
      <c r="G316" s="5">
        <v>2</v>
      </c>
      <c r="I316" s="52">
        <v>2</v>
      </c>
      <c r="K316" s="14">
        <f t="shared" si="15"/>
        <v>2</v>
      </c>
      <c r="L316" s="15">
        <f t="shared" si="16"/>
        <v>0</v>
      </c>
      <c r="M316" s="16">
        <f t="shared" si="14"/>
        <v>2</v>
      </c>
      <c r="AD316" s="55">
        <v>2</v>
      </c>
    </row>
    <row r="317" spans="1:34" x14ac:dyDescent="0.25">
      <c r="A317" s="38">
        <v>367</v>
      </c>
      <c r="B317" s="39" t="s">
        <v>273</v>
      </c>
      <c r="C317" s="40" t="s">
        <v>272</v>
      </c>
      <c r="D317" s="41"/>
      <c r="E317" s="40" t="s">
        <v>15</v>
      </c>
      <c r="F317" s="42">
        <v>1</v>
      </c>
      <c r="G317" s="5">
        <v>1</v>
      </c>
      <c r="I317" s="52">
        <v>1</v>
      </c>
      <c r="K317" s="14">
        <f t="shared" si="15"/>
        <v>1</v>
      </c>
      <c r="L317" s="15">
        <f t="shared" si="16"/>
        <v>0</v>
      </c>
      <c r="M317" s="16">
        <f t="shared" si="14"/>
        <v>1</v>
      </c>
      <c r="Y317" s="55">
        <v>1</v>
      </c>
    </row>
    <row r="318" spans="1:34" x14ac:dyDescent="0.25">
      <c r="A318" s="38">
        <v>368</v>
      </c>
      <c r="B318" s="39" t="s">
        <v>274</v>
      </c>
      <c r="C318" s="40" t="s">
        <v>275</v>
      </c>
      <c r="D318" s="41"/>
      <c r="E318" s="40" t="s">
        <v>15</v>
      </c>
      <c r="F318" s="42">
        <v>15</v>
      </c>
      <c r="G318" s="5">
        <v>15</v>
      </c>
      <c r="I318" s="52">
        <v>15</v>
      </c>
      <c r="K318" s="14">
        <f t="shared" si="15"/>
        <v>15</v>
      </c>
      <c r="L318" s="15">
        <f t="shared" si="16"/>
        <v>0</v>
      </c>
      <c r="M318" s="16">
        <f t="shared" si="14"/>
        <v>15</v>
      </c>
      <c r="Y318" s="55">
        <v>15</v>
      </c>
    </row>
    <row r="319" spans="1:34" x14ac:dyDescent="0.25">
      <c r="A319" s="38">
        <v>369</v>
      </c>
      <c r="B319" s="39" t="s">
        <v>274</v>
      </c>
      <c r="C319" s="40" t="s">
        <v>272</v>
      </c>
      <c r="D319" s="41"/>
      <c r="E319" s="40" t="s">
        <v>15</v>
      </c>
      <c r="F319" s="42">
        <v>18</v>
      </c>
      <c r="G319" s="5">
        <v>18</v>
      </c>
      <c r="I319" s="52">
        <v>18</v>
      </c>
      <c r="K319" s="14">
        <f t="shared" si="15"/>
        <v>18</v>
      </c>
      <c r="L319" s="15">
        <f t="shared" si="16"/>
        <v>0</v>
      </c>
      <c r="M319" s="16">
        <f t="shared" si="14"/>
        <v>18</v>
      </c>
      <c r="Y319" s="55">
        <v>18</v>
      </c>
    </row>
    <row r="320" spans="1:34" x14ac:dyDescent="0.25">
      <c r="A320" s="38">
        <v>370</v>
      </c>
      <c r="B320" s="39" t="s">
        <v>274</v>
      </c>
      <c r="C320" s="40" t="s">
        <v>276</v>
      </c>
      <c r="D320" s="41"/>
      <c r="E320" s="40" t="s">
        <v>15</v>
      </c>
      <c r="F320" s="42">
        <v>2</v>
      </c>
      <c r="G320" s="5">
        <v>4</v>
      </c>
      <c r="I320" s="52">
        <v>4</v>
      </c>
      <c r="K320" s="14">
        <f t="shared" si="15"/>
        <v>4</v>
      </c>
      <c r="L320" s="15">
        <f t="shared" si="16"/>
        <v>0</v>
      </c>
      <c r="M320" s="16">
        <f t="shared" si="14"/>
        <v>4</v>
      </c>
      <c r="U320" s="55">
        <v>4</v>
      </c>
    </row>
    <row r="321" spans="1:34" x14ac:dyDescent="0.25">
      <c r="A321" s="38">
        <v>371</v>
      </c>
      <c r="B321" s="39" t="s">
        <v>274</v>
      </c>
      <c r="C321" s="40" t="s">
        <v>277</v>
      </c>
      <c r="D321" s="41"/>
      <c r="E321" s="40" t="s">
        <v>15</v>
      </c>
      <c r="F321" s="42">
        <v>11</v>
      </c>
      <c r="G321" s="5">
        <v>11</v>
      </c>
      <c r="H321" s="5">
        <v>8</v>
      </c>
      <c r="I321" s="52">
        <v>3</v>
      </c>
      <c r="K321" s="14">
        <f t="shared" si="15"/>
        <v>3</v>
      </c>
      <c r="L321" s="15">
        <f t="shared" si="16"/>
        <v>0</v>
      </c>
      <c r="M321" s="16">
        <f t="shared" si="14"/>
        <v>3</v>
      </c>
      <c r="AA321" s="55">
        <v>3</v>
      </c>
    </row>
    <row r="322" spans="1:34" x14ac:dyDescent="0.25">
      <c r="A322" s="38">
        <v>372</v>
      </c>
      <c r="B322" s="39" t="s">
        <v>278</v>
      </c>
      <c r="C322" s="40" t="s">
        <v>272</v>
      </c>
      <c r="D322" s="41"/>
      <c r="E322" s="40" t="s">
        <v>15</v>
      </c>
      <c r="F322" s="42">
        <v>3</v>
      </c>
      <c r="G322" s="5">
        <v>3</v>
      </c>
      <c r="I322" s="52">
        <v>3</v>
      </c>
      <c r="K322" s="14">
        <f t="shared" si="15"/>
        <v>3</v>
      </c>
      <c r="L322" s="15">
        <f t="shared" si="16"/>
        <v>0</v>
      </c>
      <c r="M322" s="16">
        <f t="shared" si="14"/>
        <v>3</v>
      </c>
      <c r="U322" s="55">
        <v>3</v>
      </c>
    </row>
    <row r="323" spans="1:34" x14ac:dyDescent="0.25">
      <c r="A323" s="38">
        <v>373</v>
      </c>
      <c r="B323" s="39" t="s">
        <v>278</v>
      </c>
      <c r="C323" s="40" t="s">
        <v>276</v>
      </c>
      <c r="D323" s="41"/>
      <c r="E323" s="40" t="s">
        <v>15</v>
      </c>
      <c r="F323" s="42">
        <v>8</v>
      </c>
      <c r="G323" s="5">
        <v>8</v>
      </c>
      <c r="I323" s="52">
        <v>8</v>
      </c>
      <c r="K323" s="14">
        <f t="shared" si="15"/>
        <v>8</v>
      </c>
      <c r="L323" s="15">
        <f t="shared" si="16"/>
        <v>0</v>
      </c>
      <c r="M323" s="16">
        <f t="shared" si="14"/>
        <v>8</v>
      </c>
      <c r="Y323" s="55">
        <v>8</v>
      </c>
    </row>
    <row r="324" spans="1:34" x14ac:dyDescent="0.25">
      <c r="A324" s="38">
        <v>374</v>
      </c>
      <c r="B324" s="39" t="s">
        <v>278</v>
      </c>
      <c r="C324" s="40" t="s">
        <v>277</v>
      </c>
      <c r="D324" s="41"/>
      <c r="E324" s="40" t="s">
        <v>15</v>
      </c>
      <c r="F324" s="42">
        <v>6</v>
      </c>
      <c r="G324" s="5">
        <v>6</v>
      </c>
      <c r="I324" s="52">
        <v>6</v>
      </c>
      <c r="K324" s="14">
        <f t="shared" si="15"/>
        <v>6</v>
      </c>
      <c r="L324" s="15">
        <f t="shared" si="16"/>
        <v>0</v>
      </c>
      <c r="M324" s="16">
        <f t="shared" si="14"/>
        <v>6</v>
      </c>
      <c r="U324" s="55">
        <v>6</v>
      </c>
    </row>
    <row r="325" spans="1:34" ht="33" x14ac:dyDescent="0.25">
      <c r="A325" s="38">
        <v>375</v>
      </c>
      <c r="B325" s="39" t="s">
        <v>279</v>
      </c>
      <c r="C325" s="40" t="s">
        <v>280</v>
      </c>
      <c r="D325" s="41"/>
      <c r="E325" s="40" t="s">
        <v>15</v>
      </c>
      <c r="F325" s="42">
        <v>4</v>
      </c>
      <c r="G325" s="5">
        <v>4</v>
      </c>
      <c r="I325" s="52">
        <v>4</v>
      </c>
      <c r="K325" s="14">
        <f t="shared" si="15"/>
        <v>4</v>
      </c>
      <c r="L325" s="15">
        <f t="shared" si="16"/>
        <v>0</v>
      </c>
      <c r="M325" s="16">
        <f t="shared" ref="M325:M388" si="17">SUM(N325:EA325)</f>
        <v>4</v>
      </c>
      <c r="Y325" s="55">
        <v>4</v>
      </c>
    </row>
    <row r="326" spans="1:34" ht="33" x14ac:dyDescent="0.25">
      <c r="A326" s="38">
        <v>376</v>
      </c>
      <c r="B326" s="39" t="s">
        <v>279</v>
      </c>
      <c r="C326" s="40" t="s">
        <v>281</v>
      </c>
      <c r="D326" s="41"/>
      <c r="E326" s="40" t="s">
        <v>15</v>
      </c>
      <c r="F326" s="42">
        <v>1</v>
      </c>
      <c r="G326" s="5">
        <v>1</v>
      </c>
      <c r="I326" s="52">
        <v>1</v>
      </c>
      <c r="K326" s="14">
        <f t="shared" ref="K326:K389" si="18">SUM(I326:J326)</f>
        <v>1</v>
      </c>
      <c r="L326" s="15">
        <f t="shared" ref="L326:L389" si="19">+M326-K326</f>
        <v>0</v>
      </c>
      <c r="M326" s="16">
        <f t="shared" si="17"/>
        <v>1</v>
      </c>
      <c r="Y326" s="55">
        <v>1</v>
      </c>
    </row>
    <row r="327" spans="1:34" x14ac:dyDescent="0.25">
      <c r="A327" s="38">
        <v>377</v>
      </c>
      <c r="B327" s="39" t="s">
        <v>282</v>
      </c>
      <c r="C327" s="40" t="s">
        <v>283</v>
      </c>
      <c r="D327" s="41"/>
      <c r="E327" s="40" t="s">
        <v>15</v>
      </c>
      <c r="F327" s="42">
        <v>2</v>
      </c>
      <c r="G327" s="5">
        <v>2</v>
      </c>
      <c r="I327" s="52">
        <v>2</v>
      </c>
      <c r="K327" s="14">
        <f t="shared" si="18"/>
        <v>2</v>
      </c>
      <c r="L327" s="15">
        <f t="shared" si="19"/>
        <v>0</v>
      </c>
      <c r="M327" s="16">
        <f t="shared" si="17"/>
        <v>2</v>
      </c>
      <c r="AH327" s="55">
        <v>2</v>
      </c>
    </row>
    <row r="328" spans="1:34" ht="33" x14ac:dyDescent="0.25">
      <c r="A328" s="38">
        <v>378</v>
      </c>
      <c r="B328" s="39" t="s">
        <v>284</v>
      </c>
      <c r="C328" s="40" t="s">
        <v>285</v>
      </c>
      <c r="D328" s="41"/>
      <c r="E328" s="40" t="s">
        <v>15</v>
      </c>
      <c r="F328" s="42">
        <v>2</v>
      </c>
      <c r="G328" s="5">
        <v>2</v>
      </c>
      <c r="I328" s="52">
        <v>2</v>
      </c>
      <c r="K328" s="14">
        <f t="shared" si="18"/>
        <v>2</v>
      </c>
      <c r="L328" s="15">
        <f t="shared" si="19"/>
        <v>0</v>
      </c>
      <c r="M328" s="16">
        <f t="shared" si="17"/>
        <v>2</v>
      </c>
      <c r="AD328" s="55">
        <v>2</v>
      </c>
    </row>
    <row r="329" spans="1:34" x14ac:dyDescent="0.25">
      <c r="A329" s="38">
        <v>379</v>
      </c>
      <c r="B329" s="39" t="s">
        <v>286</v>
      </c>
      <c r="C329" s="40" t="s">
        <v>285</v>
      </c>
      <c r="D329" s="41"/>
      <c r="E329" s="40" t="s">
        <v>15</v>
      </c>
      <c r="F329" s="42">
        <v>1</v>
      </c>
      <c r="G329" s="5">
        <v>1</v>
      </c>
      <c r="I329" s="52">
        <v>1</v>
      </c>
      <c r="K329" s="14">
        <f t="shared" si="18"/>
        <v>1</v>
      </c>
      <c r="L329" s="15">
        <f t="shared" si="19"/>
        <v>0</v>
      </c>
      <c r="M329" s="16">
        <f t="shared" si="17"/>
        <v>1</v>
      </c>
      <c r="U329" s="55">
        <v>1</v>
      </c>
    </row>
    <row r="330" spans="1:34" x14ac:dyDescent="0.25">
      <c r="A330" s="38">
        <v>380</v>
      </c>
      <c r="B330" s="39" t="s">
        <v>286</v>
      </c>
      <c r="C330" s="40" t="s">
        <v>287</v>
      </c>
      <c r="D330" s="41"/>
      <c r="E330" s="40" t="s">
        <v>15</v>
      </c>
      <c r="F330" s="42">
        <v>1</v>
      </c>
      <c r="G330" s="5">
        <v>1</v>
      </c>
      <c r="I330" s="52">
        <v>1</v>
      </c>
      <c r="K330" s="14">
        <f t="shared" si="18"/>
        <v>1</v>
      </c>
      <c r="L330" s="15">
        <f t="shared" si="19"/>
        <v>0</v>
      </c>
      <c r="M330" s="16">
        <f t="shared" si="17"/>
        <v>1</v>
      </c>
      <c r="Y330" s="55">
        <v>1</v>
      </c>
    </row>
    <row r="331" spans="1:34" x14ac:dyDescent="0.25">
      <c r="A331" s="38">
        <v>381</v>
      </c>
      <c r="B331" s="39" t="s">
        <v>288</v>
      </c>
      <c r="C331" s="40" t="s">
        <v>285</v>
      </c>
      <c r="D331" s="41"/>
      <c r="E331" s="40" t="s">
        <v>15</v>
      </c>
      <c r="F331" s="42">
        <v>2</v>
      </c>
      <c r="G331" s="5">
        <v>2</v>
      </c>
      <c r="I331" s="52">
        <v>2</v>
      </c>
      <c r="K331" s="14">
        <f t="shared" si="18"/>
        <v>2</v>
      </c>
      <c r="L331" s="15">
        <f t="shared" si="19"/>
        <v>0</v>
      </c>
      <c r="M331" s="16">
        <f t="shared" si="17"/>
        <v>2</v>
      </c>
      <c r="AA331" s="55">
        <v>2</v>
      </c>
    </row>
    <row r="332" spans="1:34" x14ac:dyDescent="0.25">
      <c r="A332" s="38">
        <v>382</v>
      </c>
      <c r="B332" s="39" t="s">
        <v>289</v>
      </c>
      <c r="C332" s="40" t="s">
        <v>290</v>
      </c>
      <c r="D332" s="41"/>
      <c r="E332" s="40" t="s">
        <v>15</v>
      </c>
      <c r="F332" s="42">
        <v>4</v>
      </c>
      <c r="G332" s="5">
        <v>4</v>
      </c>
      <c r="I332" s="52">
        <v>4</v>
      </c>
      <c r="K332" s="14">
        <f t="shared" si="18"/>
        <v>4</v>
      </c>
      <c r="L332" s="15">
        <f t="shared" si="19"/>
        <v>0</v>
      </c>
      <c r="M332" s="16">
        <f t="shared" si="17"/>
        <v>4</v>
      </c>
      <c r="Y332" s="55">
        <v>4</v>
      </c>
    </row>
    <row r="333" spans="1:34" x14ac:dyDescent="0.25">
      <c r="A333" s="38">
        <v>383</v>
      </c>
      <c r="B333" s="39" t="s">
        <v>289</v>
      </c>
      <c r="C333" s="40" t="s">
        <v>287</v>
      </c>
      <c r="D333" s="41"/>
      <c r="E333" s="40" t="s">
        <v>15</v>
      </c>
      <c r="F333" s="42">
        <v>1</v>
      </c>
      <c r="G333" s="5">
        <v>1</v>
      </c>
      <c r="I333" s="52">
        <v>1</v>
      </c>
      <c r="K333" s="14">
        <f t="shared" si="18"/>
        <v>1</v>
      </c>
      <c r="L333" s="15">
        <f t="shared" si="19"/>
        <v>0</v>
      </c>
      <c r="M333" s="16">
        <f t="shared" si="17"/>
        <v>1</v>
      </c>
      <c r="Y333" s="55">
        <v>1</v>
      </c>
    </row>
    <row r="334" spans="1:34" x14ac:dyDescent="0.25">
      <c r="A334" s="38">
        <v>384</v>
      </c>
      <c r="B334" s="39" t="s">
        <v>291</v>
      </c>
      <c r="C334" s="40" t="s">
        <v>285</v>
      </c>
      <c r="D334" s="41"/>
      <c r="E334" s="40" t="s">
        <v>15</v>
      </c>
      <c r="F334" s="42">
        <v>19</v>
      </c>
      <c r="G334" s="5">
        <v>19</v>
      </c>
      <c r="I334" s="52">
        <v>19</v>
      </c>
      <c r="K334" s="14">
        <f t="shared" si="18"/>
        <v>19</v>
      </c>
      <c r="L334" s="15">
        <f t="shared" si="19"/>
        <v>0</v>
      </c>
      <c r="M334" s="16">
        <f t="shared" si="17"/>
        <v>19</v>
      </c>
      <c r="AA334" s="55">
        <v>19</v>
      </c>
    </row>
    <row r="335" spans="1:34" x14ac:dyDescent="0.25">
      <c r="A335" s="38">
        <v>385</v>
      </c>
      <c r="B335" s="39" t="s">
        <v>291</v>
      </c>
      <c r="C335" s="40" t="s">
        <v>292</v>
      </c>
      <c r="D335" s="41"/>
      <c r="E335" s="40" t="s">
        <v>15</v>
      </c>
      <c r="F335" s="42">
        <v>10</v>
      </c>
      <c r="G335" s="5">
        <v>11</v>
      </c>
      <c r="I335" s="52">
        <v>11</v>
      </c>
      <c r="J335" s="1">
        <v>1</v>
      </c>
      <c r="K335" s="14">
        <f t="shared" si="18"/>
        <v>12</v>
      </c>
      <c r="L335" s="15">
        <f t="shared" si="19"/>
        <v>0</v>
      </c>
      <c r="M335" s="16">
        <f t="shared" si="17"/>
        <v>12</v>
      </c>
      <c r="Y335" s="55">
        <v>11</v>
      </c>
      <c r="AH335" s="56">
        <v>1</v>
      </c>
    </row>
    <row r="336" spans="1:34" x14ac:dyDescent="0.25">
      <c r="A336" s="38">
        <v>386</v>
      </c>
      <c r="B336" s="39" t="s">
        <v>291</v>
      </c>
      <c r="C336" s="40" t="s">
        <v>293</v>
      </c>
      <c r="D336" s="41"/>
      <c r="E336" s="40" t="s">
        <v>15</v>
      </c>
      <c r="F336" s="42">
        <v>2</v>
      </c>
      <c r="G336" s="5">
        <v>2</v>
      </c>
      <c r="I336" s="52">
        <v>2</v>
      </c>
      <c r="K336" s="14">
        <f t="shared" si="18"/>
        <v>2</v>
      </c>
      <c r="L336" s="15">
        <f t="shared" si="19"/>
        <v>0</v>
      </c>
      <c r="M336" s="16">
        <f t="shared" si="17"/>
        <v>2</v>
      </c>
      <c r="Y336" s="55">
        <v>2</v>
      </c>
    </row>
    <row r="337" spans="1:35" x14ac:dyDescent="0.25">
      <c r="A337" s="38">
        <v>387</v>
      </c>
      <c r="B337" s="39" t="s">
        <v>291</v>
      </c>
      <c r="C337" s="40" t="s">
        <v>294</v>
      </c>
      <c r="D337" s="41"/>
      <c r="E337" s="40" t="s">
        <v>15</v>
      </c>
      <c r="F337" s="42">
        <v>2</v>
      </c>
      <c r="G337" s="5">
        <v>2</v>
      </c>
      <c r="I337" s="52">
        <v>2</v>
      </c>
      <c r="K337" s="14">
        <f t="shared" si="18"/>
        <v>2</v>
      </c>
      <c r="L337" s="15">
        <f t="shared" si="19"/>
        <v>0</v>
      </c>
      <c r="M337" s="16">
        <f t="shared" si="17"/>
        <v>2</v>
      </c>
      <c r="Y337" s="55">
        <v>2</v>
      </c>
    </row>
    <row r="338" spans="1:35" x14ac:dyDescent="0.25">
      <c r="A338" s="38">
        <v>388</v>
      </c>
      <c r="B338" s="39" t="s">
        <v>291</v>
      </c>
      <c r="C338" s="40" t="s">
        <v>290</v>
      </c>
      <c r="D338" s="41"/>
      <c r="E338" s="40" t="s">
        <v>15</v>
      </c>
      <c r="F338" s="42">
        <v>5</v>
      </c>
      <c r="G338" s="5">
        <v>5</v>
      </c>
      <c r="I338" s="52">
        <v>5</v>
      </c>
      <c r="K338" s="14">
        <f t="shared" si="18"/>
        <v>5</v>
      </c>
      <c r="L338" s="15">
        <f t="shared" si="19"/>
        <v>0</v>
      </c>
      <c r="M338" s="16">
        <f t="shared" si="17"/>
        <v>5</v>
      </c>
      <c r="Y338" s="55">
        <v>5</v>
      </c>
    </row>
    <row r="339" spans="1:35" x14ac:dyDescent="0.25">
      <c r="A339" s="38">
        <v>389</v>
      </c>
      <c r="B339" s="39" t="s">
        <v>291</v>
      </c>
      <c r="C339" s="40" t="s">
        <v>287</v>
      </c>
      <c r="D339" s="41"/>
      <c r="E339" s="40" t="s">
        <v>15</v>
      </c>
      <c r="F339" s="42">
        <v>2</v>
      </c>
      <c r="G339" s="5">
        <v>2</v>
      </c>
      <c r="H339" s="5">
        <v>2</v>
      </c>
      <c r="I339" s="52">
        <v>0</v>
      </c>
      <c r="K339" s="14">
        <f t="shared" si="18"/>
        <v>0</v>
      </c>
      <c r="L339" s="15">
        <f t="shared" si="19"/>
        <v>0</v>
      </c>
      <c r="M339" s="16">
        <f t="shared" si="17"/>
        <v>0</v>
      </c>
    </row>
    <row r="340" spans="1:35" x14ac:dyDescent="0.25">
      <c r="A340" s="38">
        <v>390</v>
      </c>
      <c r="B340" s="39" t="s">
        <v>295</v>
      </c>
      <c r="C340" s="40" t="s">
        <v>285</v>
      </c>
      <c r="D340" s="41"/>
      <c r="E340" s="40" t="s">
        <v>15</v>
      </c>
      <c r="F340" s="42">
        <v>10</v>
      </c>
      <c r="G340" s="5">
        <v>10</v>
      </c>
      <c r="I340" s="52">
        <v>10</v>
      </c>
      <c r="K340" s="14">
        <f t="shared" si="18"/>
        <v>10</v>
      </c>
      <c r="L340" s="15">
        <f t="shared" si="19"/>
        <v>0</v>
      </c>
      <c r="M340" s="16">
        <f t="shared" si="17"/>
        <v>10</v>
      </c>
      <c r="AA340" s="55">
        <v>10</v>
      </c>
    </row>
    <row r="341" spans="1:35" x14ac:dyDescent="0.25">
      <c r="A341" s="38">
        <v>391</v>
      </c>
      <c r="B341" s="39" t="s">
        <v>295</v>
      </c>
      <c r="C341" s="40" t="s">
        <v>292</v>
      </c>
      <c r="D341" s="41"/>
      <c r="E341" s="40" t="s">
        <v>15</v>
      </c>
      <c r="F341" s="42">
        <v>4</v>
      </c>
      <c r="G341" s="5">
        <v>4</v>
      </c>
      <c r="I341" s="52">
        <v>4</v>
      </c>
      <c r="K341" s="14">
        <f t="shared" si="18"/>
        <v>4</v>
      </c>
      <c r="L341" s="15">
        <f t="shared" si="19"/>
        <v>0</v>
      </c>
      <c r="M341" s="16">
        <f t="shared" si="17"/>
        <v>4</v>
      </c>
      <c r="U341" s="55">
        <v>4</v>
      </c>
    </row>
    <row r="342" spans="1:35" ht="33" x14ac:dyDescent="0.25">
      <c r="A342" s="38">
        <v>392</v>
      </c>
      <c r="B342" s="39" t="s">
        <v>296</v>
      </c>
      <c r="C342" s="40" t="s">
        <v>297</v>
      </c>
      <c r="D342" s="41"/>
      <c r="E342" s="40" t="s">
        <v>15</v>
      </c>
      <c r="F342" s="42">
        <v>2</v>
      </c>
      <c r="G342" s="5">
        <v>2</v>
      </c>
      <c r="I342" s="52">
        <v>2</v>
      </c>
      <c r="K342" s="14">
        <f t="shared" si="18"/>
        <v>2</v>
      </c>
      <c r="L342" s="15">
        <f t="shared" si="19"/>
        <v>0</v>
      </c>
      <c r="M342" s="16">
        <f t="shared" si="17"/>
        <v>2</v>
      </c>
      <c r="AH342" s="55">
        <v>2</v>
      </c>
    </row>
    <row r="343" spans="1:35" ht="33" x14ac:dyDescent="0.25">
      <c r="A343" s="38">
        <v>393</v>
      </c>
      <c r="B343" s="39" t="s">
        <v>296</v>
      </c>
      <c r="C343" s="40" t="s">
        <v>298</v>
      </c>
      <c r="D343" s="41"/>
      <c r="E343" s="40" t="s">
        <v>15</v>
      </c>
      <c r="F343" s="42">
        <v>1</v>
      </c>
      <c r="G343" s="5">
        <v>1</v>
      </c>
      <c r="I343" s="52">
        <v>1</v>
      </c>
      <c r="K343" s="14">
        <f t="shared" si="18"/>
        <v>1</v>
      </c>
      <c r="L343" s="15">
        <f t="shared" si="19"/>
        <v>0</v>
      </c>
      <c r="M343" s="16">
        <f t="shared" si="17"/>
        <v>1</v>
      </c>
      <c r="AH343" s="55">
        <v>1</v>
      </c>
    </row>
    <row r="344" spans="1:35" x14ac:dyDescent="0.25">
      <c r="A344" s="38">
        <v>394</v>
      </c>
      <c r="B344" s="39" t="s">
        <v>299</v>
      </c>
      <c r="C344" s="40" t="s">
        <v>300</v>
      </c>
      <c r="D344" s="41"/>
      <c r="E344" s="40" t="s">
        <v>15</v>
      </c>
      <c r="F344" s="42">
        <v>1</v>
      </c>
      <c r="G344" s="5">
        <v>1</v>
      </c>
      <c r="I344" s="52">
        <v>1</v>
      </c>
      <c r="K344" s="14">
        <f t="shared" si="18"/>
        <v>1</v>
      </c>
      <c r="L344" s="15">
        <f t="shared" si="19"/>
        <v>0</v>
      </c>
      <c r="M344" s="16">
        <f t="shared" si="17"/>
        <v>1</v>
      </c>
      <c r="AD344" s="55">
        <v>1</v>
      </c>
    </row>
    <row r="345" spans="1:35" x14ac:dyDescent="0.25">
      <c r="A345" s="38">
        <v>395</v>
      </c>
      <c r="B345" s="39" t="s">
        <v>301</v>
      </c>
      <c r="C345" s="40" t="s">
        <v>302</v>
      </c>
      <c r="D345" s="41"/>
      <c r="E345" s="40" t="s">
        <v>15</v>
      </c>
      <c r="F345" s="42">
        <v>1</v>
      </c>
      <c r="G345" s="5">
        <v>1</v>
      </c>
      <c r="I345" s="52">
        <v>1</v>
      </c>
      <c r="J345" s="1">
        <v>1</v>
      </c>
      <c r="K345" s="14">
        <f t="shared" si="18"/>
        <v>2</v>
      </c>
      <c r="L345" s="15">
        <f t="shared" si="19"/>
        <v>0</v>
      </c>
      <c r="M345" s="16">
        <f t="shared" si="17"/>
        <v>2</v>
      </c>
      <c r="Y345" s="55">
        <v>1</v>
      </c>
      <c r="AI345" s="55">
        <v>1</v>
      </c>
    </row>
    <row r="346" spans="1:35" x14ac:dyDescent="0.25">
      <c r="A346" s="38" t="s">
        <v>303</v>
      </c>
      <c r="B346" s="39" t="s">
        <v>304</v>
      </c>
      <c r="C346" s="40" t="s">
        <v>302</v>
      </c>
      <c r="D346" s="41"/>
      <c r="E346" s="40" t="s">
        <v>15</v>
      </c>
      <c r="F346" s="42">
        <v>2</v>
      </c>
      <c r="G346" s="5">
        <v>2</v>
      </c>
      <c r="I346" s="52">
        <v>2</v>
      </c>
      <c r="K346" s="14">
        <f t="shared" si="18"/>
        <v>2</v>
      </c>
      <c r="L346" s="15">
        <f t="shared" si="19"/>
        <v>0</v>
      </c>
      <c r="M346" s="16">
        <f t="shared" si="17"/>
        <v>2</v>
      </c>
      <c r="Y346" s="55">
        <v>2</v>
      </c>
    </row>
    <row r="347" spans="1:35" x14ac:dyDescent="0.25">
      <c r="A347" s="38">
        <v>396</v>
      </c>
      <c r="B347" s="39" t="s">
        <v>304</v>
      </c>
      <c r="C347" s="40" t="s">
        <v>300</v>
      </c>
      <c r="D347" s="41"/>
      <c r="E347" s="40" t="s">
        <v>15</v>
      </c>
      <c r="F347" s="42">
        <v>2</v>
      </c>
      <c r="G347" s="5">
        <v>2</v>
      </c>
      <c r="I347" s="52">
        <v>2</v>
      </c>
      <c r="K347" s="14">
        <f t="shared" si="18"/>
        <v>2</v>
      </c>
      <c r="L347" s="15">
        <f t="shared" si="19"/>
        <v>0</v>
      </c>
      <c r="M347" s="16">
        <f t="shared" si="17"/>
        <v>2</v>
      </c>
      <c r="U347" s="55">
        <v>2</v>
      </c>
    </row>
    <row r="348" spans="1:35" x14ac:dyDescent="0.25">
      <c r="A348" s="38">
        <v>397</v>
      </c>
      <c r="B348" s="39" t="s">
        <v>304</v>
      </c>
      <c r="C348" s="40" t="s">
        <v>305</v>
      </c>
      <c r="D348" s="41"/>
      <c r="E348" s="40" t="s">
        <v>15</v>
      </c>
      <c r="F348" s="42">
        <v>10</v>
      </c>
      <c r="G348" s="5">
        <v>11</v>
      </c>
      <c r="I348" s="52">
        <v>11</v>
      </c>
      <c r="K348" s="14">
        <f t="shared" si="18"/>
        <v>11</v>
      </c>
      <c r="L348" s="15">
        <f t="shared" si="19"/>
        <v>0</v>
      </c>
      <c r="M348" s="16">
        <f t="shared" si="17"/>
        <v>11</v>
      </c>
      <c r="Y348" s="55">
        <v>11</v>
      </c>
    </row>
    <row r="349" spans="1:35" x14ac:dyDescent="0.25">
      <c r="A349" s="38">
        <v>398</v>
      </c>
      <c r="B349" s="39" t="s">
        <v>304</v>
      </c>
      <c r="C349" s="40" t="s">
        <v>306</v>
      </c>
      <c r="D349" s="41"/>
      <c r="E349" s="40" t="s">
        <v>15</v>
      </c>
      <c r="F349" s="42">
        <v>2</v>
      </c>
      <c r="G349" s="5">
        <v>2</v>
      </c>
      <c r="I349" s="52">
        <v>2</v>
      </c>
      <c r="K349" s="14">
        <f t="shared" si="18"/>
        <v>2</v>
      </c>
      <c r="L349" s="15">
        <f t="shared" si="19"/>
        <v>0</v>
      </c>
      <c r="M349" s="16">
        <f t="shared" si="17"/>
        <v>2</v>
      </c>
      <c r="U349" s="55">
        <v>2</v>
      </c>
    </row>
    <row r="350" spans="1:35" x14ac:dyDescent="0.25">
      <c r="A350" s="38">
        <v>399</v>
      </c>
      <c r="B350" s="39" t="s">
        <v>307</v>
      </c>
      <c r="C350" s="40" t="s">
        <v>300</v>
      </c>
      <c r="D350" s="41"/>
      <c r="E350" s="40" t="s">
        <v>15</v>
      </c>
      <c r="F350" s="42">
        <v>3</v>
      </c>
      <c r="G350" s="5">
        <v>3</v>
      </c>
      <c r="I350" s="52">
        <v>3</v>
      </c>
      <c r="K350" s="14">
        <f t="shared" si="18"/>
        <v>3</v>
      </c>
      <c r="L350" s="15">
        <f t="shared" si="19"/>
        <v>0</v>
      </c>
      <c r="M350" s="16">
        <f t="shared" si="17"/>
        <v>3</v>
      </c>
      <c r="U350" s="55">
        <v>3</v>
      </c>
    </row>
    <row r="351" spans="1:35" x14ac:dyDescent="0.25">
      <c r="A351" s="38">
        <v>400</v>
      </c>
      <c r="B351" s="39" t="s">
        <v>307</v>
      </c>
      <c r="C351" s="40" t="s">
        <v>306</v>
      </c>
      <c r="D351" s="41"/>
      <c r="E351" s="40" t="s">
        <v>15</v>
      </c>
      <c r="F351" s="42">
        <v>3</v>
      </c>
      <c r="G351" s="5">
        <v>3</v>
      </c>
      <c r="I351" s="52">
        <v>3</v>
      </c>
      <c r="K351" s="14">
        <f t="shared" si="18"/>
        <v>3</v>
      </c>
      <c r="L351" s="15">
        <f t="shared" si="19"/>
        <v>0</v>
      </c>
      <c r="M351" s="16">
        <f t="shared" si="17"/>
        <v>3</v>
      </c>
      <c r="U351" s="56">
        <v>3</v>
      </c>
    </row>
    <row r="352" spans="1:35" x14ac:dyDescent="0.25">
      <c r="A352" s="38">
        <v>401</v>
      </c>
      <c r="B352" s="39" t="s">
        <v>308</v>
      </c>
      <c r="C352" s="40" t="s">
        <v>309</v>
      </c>
      <c r="D352" s="41"/>
      <c r="E352" s="40" t="s">
        <v>15</v>
      </c>
      <c r="F352" s="42">
        <v>3</v>
      </c>
      <c r="G352" s="5">
        <v>3</v>
      </c>
      <c r="H352" s="5">
        <v>1</v>
      </c>
      <c r="I352" s="52">
        <v>2</v>
      </c>
      <c r="K352" s="14">
        <f t="shared" si="18"/>
        <v>2</v>
      </c>
      <c r="L352" s="15">
        <f t="shared" si="19"/>
        <v>0</v>
      </c>
      <c r="M352" s="16">
        <f t="shared" si="17"/>
        <v>2</v>
      </c>
      <c r="O352" s="55">
        <v>2</v>
      </c>
    </row>
    <row r="353" spans="1:30" x14ac:dyDescent="0.25">
      <c r="A353" s="38">
        <v>402</v>
      </c>
      <c r="B353" s="39" t="s">
        <v>308</v>
      </c>
      <c r="C353" s="40" t="s">
        <v>310</v>
      </c>
      <c r="D353" s="41"/>
      <c r="E353" s="40" t="s">
        <v>15</v>
      </c>
      <c r="F353" s="42">
        <v>1</v>
      </c>
      <c r="G353" s="5">
        <v>1</v>
      </c>
      <c r="I353" s="52">
        <v>1</v>
      </c>
      <c r="K353" s="14">
        <f t="shared" si="18"/>
        <v>1</v>
      </c>
      <c r="L353" s="15">
        <f t="shared" si="19"/>
        <v>0</v>
      </c>
      <c r="M353" s="16">
        <f t="shared" si="17"/>
        <v>1</v>
      </c>
      <c r="O353" s="55">
        <v>1</v>
      </c>
    </row>
    <row r="354" spans="1:30" x14ac:dyDescent="0.25">
      <c r="A354" s="38">
        <v>403</v>
      </c>
      <c r="B354" s="39" t="s">
        <v>311</v>
      </c>
      <c r="C354" s="40" t="s">
        <v>312</v>
      </c>
      <c r="D354" s="41"/>
      <c r="E354" s="40" t="s">
        <v>13</v>
      </c>
      <c r="F354" s="42">
        <v>2</v>
      </c>
      <c r="G354" s="5">
        <v>2</v>
      </c>
      <c r="I354" s="52">
        <v>2</v>
      </c>
      <c r="K354" s="14">
        <f t="shared" si="18"/>
        <v>2</v>
      </c>
      <c r="L354" s="15">
        <f t="shared" si="19"/>
        <v>0</v>
      </c>
      <c r="M354" s="16">
        <f t="shared" si="17"/>
        <v>2</v>
      </c>
      <c r="O354" s="55">
        <v>2</v>
      </c>
    </row>
    <row r="355" spans="1:30" x14ac:dyDescent="0.25">
      <c r="A355" s="38">
        <v>404</v>
      </c>
      <c r="B355" s="39" t="s">
        <v>313</v>
      </c>
      <c r="C355" s="40" t="s">
        <v>312</v>
      </c>
      <c r="D355" s="41"/>
      <c r="E355" s="40" t="s">
        <v>15</v>
      </c>
      <c r="F355" s="42">
        <v>19</v>
      </c>
      <c r="G355" s="5">
        <v>19</v>
      </c>
      <c r="I355" s="52">
        <v>19</v>
      </c>
      <c r="K355" s="14">
        <f t="shared" si="18"/>
        <v>19</v>
      </c>
      <c r="L355" s="15">
        <f t="shared" si="19"/>
        <v>0</v>
      </c>
      <c r="M355" s="16">
        <f t="shared" si="17"/>
        <v>19</v>
      </c>
      <c r="O355" s="55">
        <v>19</v>
      </c>
    </row>
    <row r="356" spans="1:30" x14ac:dyDescent="0.25">
      <c r="A356" s="38">
        <v>405</v>
      </c>
      <c r="B356" s="39" t="s">
        <v>313</v>
      </c>
      <c r="C356" s="40" t="s">
        <v>314</v>
      </c>
      <c r="D356" s="41"/>
      <c r="E356" s="40" t="s">
        <v>15</v>
      </c>
      <c r="F356" s="42">
        <v>5</v>
      </c>
      <c r="G356" s="5">
        <v>3</v>
      </c>
      <c r="I356" s="52">
        <v>5</v>
      </c>
      <c r="K356" s="14">
        <f t="shared" si="18"/>
        <v>5</v>
      </c>
      <c r="L356" s="15">
        <f t="shared" si="19"/>
        <v>0</v>
      </c>
      <c r="M356" s="16">
        <f t="shared" si="17"/>
        <v>5</v>
      </c>
      <c r="AD356" s="55">
        <v>5</v>
      </c>
    </row>
    <row r="357" spans="1:30" x14ac:dyDescent="0.25">
      <c r="A357" s="38">
        <v>406</v>
      </c>
      <c r="B357" s="39" t="s">
        <v>313</v>
      </c>
      <c r="C357" s="40" t="s">
        <v>315</v>
      </c>
      <c r="D357" s="41"/>
      <c r="E357" s="40" t="s">
        <v>15</v>
      </c>
      <c r="F357" s="42">
        <v>2</v>
      </c>
      <c r="G357" s="5">
        <v>2</v>
      </c>
      <c r="I357" s="52">
        <v>2</v>
      </c>
      <c r="K357" s="14">
        <f t="shared" si="18"/>
        <v>2</v>
      </c>
      <c r="L357" s="15">
        <f t="shared" si="19"/>
        <v>0</v>
      </c>
      <c r="M357" s="16">
        <f t="shared" si="17"/>
        <v>2</v>
      </c>
      <c r="AD357" s="55">
        <v>2</v>
      </c>
    </row>
    <row r="358" spans="1:30" x14ac:dyDescent="0.25">
      <c r="A358" s="38">
        <v>407</v>
      </c>
      <c r="B358" s="39" t="s">
        <v>313</v>
      </c>
      <c r="C358" s="40" t="s">
        <v>316</v>
      </c>
      <c r="D358" s="41"/>
      <c r="E358" s="40" t="s">
        <v>15</v>
      </c>
      <c r="F358" s="42">
        <v>3</v>
      </c>
      <c r="G358" s="5">
        <v>3</v>
      </c>
      <c r="I358" s="52">
        <v>3</v>
      </c>
      <c r="J358" s="1">
        <v>2</v>
      </c>
      <c r="K358" s="14">
        <f t="shared" si="18"/>
        <v>5</v>
      </c>
      <c r="L358" s="15">
        <f t="shared" si="19"/>
        <v>0</v>
      </c>
      <c r="M358" s="16">
        <f t="shared" si="17"/>
        <v>5</v>
      </c>
      <c r="AB358" s="55">
        <v>2</v>
      </c>
      <c r="AD358" s="55">
        <v>3</v>
      </c>
    </row>
    <row r="359" spans="1:30" x14ac:dyDescent="0.25">
      <c r="A359" s="38">
        <v>408</v>
      </c>
      <c r="B359" s="39" t="s">
        <v>317</v>
      </c>
      <c r="C359" s="40" t="s">
        <v>312</v>
      </c>
      <c r="D359" s="41"/>
      <c r="E359" s="40" t="s">
        <v>13</v>
      </c>
      <c r="F359" s="42">
        <v>498</v>
      </c>
      <c r="G359" s="5">
        <v>496</v>
      </c>
      <c r="I359" s="52">
        <v>498</v>
      </c>
      <c r="J359" s="1">
        <v>19</v>
      </c>
      <c r="K359" s="14">
        <f t="shared" si="18"/>
        <v>517</v>
      </c>
      <c r="L359" s="15">
        <f t="shared" si="19"/>
        <v>0</v>
      </c>
      <c r="M359" s="16">
        <f t="shared" si="17"/>
        <v>517</v>
      </c>
      <c r="V359" s="55">
        <v>498</v>
      </c>
      <c r="Z359" s="55">
        <v>19</v>
      </c>
    </row>
    <row r="360" spans="1:30" x14ac:dyDescent="0.25">
      <c r="A360" s="38">
        <v>409</v>
      </c>
      <c r="B360" s="39" t="s">
        <v>317</v>
      </c>
      <c r="C360" s="40" t="s">
        <v>314</v>
      </c>
      <c r="D360" s="41"/>
      <c r="E360" s="40" t="s">
        <v>13</v>
      </c>
      <c r="F360" s="42">
        <v>160</v>
      </c>
      <c r="G360" s="5">
        <v>157</v>
      </c>
      <c r="H360" s="5">
        <v>2</v>
      </c>
      <c r="I360" s="52">
        <v>158</v>
      </c>
      <c r="J360" s="1">
        <v>1</v>
      </c>
      <c r="K360" s="14">
        <f t="shared" si="18"/>
        <v>159</v>
      </c>
      <c r="L360" s="15">
        <f t="shared" si="19"/>
        <v>0</v>
      </c>
      <c r="M360" s="16">
        <f t="shared" si="17"/>
        <v>159</v>
      </c>
      <c r="N360" s="55">
        <v>158</v>
      </c>
      <c r="Z360" s="55">
        <v>1</v>
      </c>
    </row>
    <row r="361" spans="1:30" x14ac:dyDescent="0.25">
      <c r="A361" s="38">
        <v>410</v>
      </c>
      <c r="B361" s="39" t="s">
        <v>317</v>
      </c>
      <c r="C361" s="40" t="s">
        <v>318</v>
      </c>
      <c r="D361" s="41"/>
      <c r="E361" s="40" t="s">
        <v>13</v>
      </c>
      <c r="F361" s="42">
        <v>3</v>
      </c>
      <c r="G361" s="5">
        <v>3</v>
      </c>
      <c r="H361" s="5">
        <v>1</v>
      </c>
      <c r="I361" s="52">
        <v>2</v>
      </c>
      <c r="K361" s="14">
        <f t="shared" si="18"/>
        <v>2</v>
      </c>
      <c r="L361" s="15">
        <f t="shared" si="19"/>
        <v>0</v>
      </c>
      <c r="M361" s="16">
        <f t="shared" si="17"/>
        <v>2</v>
      </c>
      <c r="N361" s="55">
        <v>2</v>
      </c>
    </row>
    <row r="362" spans="1:30" x14ac:dyDescent="0.25">
      <c r="A362" s="38">
        <v>411</v>
      </c>
      <c r="B362" s="39" t="s">
        <v>317</v>
      </c>
      <c r="C362" s="40" t="s">
        <v>315</v>
      </c>
      <c r="D362" s="41"/>
      <c r="E362" s="40" t="s">
        <v>13</v>
      </c>
      <c r="F362" s="42">
        <v>80</v>
      </c>
      <c r="G362" s="5">
        <v>79</v>
      </c>
      <c r="I362" s="52">
        <v>80</v>
      </c>
      <c r="K362" s="14">
        <f t="shared" si="18"/>
        <v>80</v>
      </c>
      <c r="L362" s="15">
        <f t="shared" si="19"/>
        <v>0</v>
      </c>
      <c r="M362" s="16">
        <f t="shared" si="17"/>
        <v>80</v>
      </c>
      <c r="W362" s="55">
        <v>80</v>
      </c>
    </row>
    <row r="363" spans="1:30" x14ac:dyDescent="0.25">
      <c r="A363" s="38">
        <v>412</v>
      </c>
      <c r="B363" s="39" t="s">
        <v>317</v>
      </c>
      <c r="C363" s="40" t="s">
        <v>316</v>
      </c>
      <c r="D363" s="41"/>
      <c r="E363" s="40" t="s">
        <v>13</v>
      </c>
      <c r="F363" s="42">
        <v>240</v>
      </c>
      <c r="G363" s="5">
        <v>238</v>
      </c>
      <c r="I363" s="52">
        <v>240</v>
      </c>
      <c r="J363" s="1">
        <v>1</v>
      </c>
      <c r="K363" s="14">
        <f t="shared" si="18"/>
        <v>241</v>
      </c>
      <c r="L363" s="15">
        <f t="shared" si="19"/>
        <v>0</v>
      </c>
      <c r="M363" s="16">
        <f t="shared" si="17"/>
        <v>241</v>
      </c>
      <c r="W363" s="55">
        <v>240</v>
      </c>
      <c r="Z363" s="55">
        <v>1</v>
      </c>
    </row>
    <row r="364" spans="1:30" x14ac:dyDescent="0.25">
      <c r="A364" s="38">
        <v>413</v>
      </c>
      <c r="B364" s="39" t="s">
        <v>319</v>
      </c>
      <c r="C364" s="40" t="s">
        <v>312</v>
      </c>
      <c r="D364" s="41"/>
      <c r="E364" s="40" t="s">
        <v>13</v>
      </c>
      <c r="F364" s="42">
        <v>157</v>
      </c>
      <c r="G364" s="5">
        <v>157</v>
      </c>
      <c r="I364" s="52">
        <v>157</v>
      </c>
      <c r="J364" s="1">
        <v>9</v>
      </c>
      <c r="K364" s="14">
        <f t="shared" si="18"/>
        <v>166</v>
      </c>
      <c r="L364" s="15">
        <f t="shared" si="19"/>
        <v>0</v>
      </c>
      <c r="M364" s="16">
        <f t="shared" si="17"/>
        <v>166</v>
      </c>
      <c r="R364" s="56">
        <f>56+1</f>
        <v>57</v>
      </c>
      <c r="W364" s="55">
        <v>100</v>
      </c>
      <c r="Z364" s="55">
        <v>9</v>
      </c>
    </row>
    <row r="365" spans="1:30" x14ac:dyDescent="0.25">
      <c r="A365" s="38">
        <v>414</v>
      </c>
      <c r="B365" s="39" t="s">
        <v>319</v>
      </c>
      <c r="C365" s="40" t="s">
        <v>314</v>
      </c>
      <c r="D365" s="41"/>
      <c r="E365" s="40" t="s">
        <v>13</v>
      </c>
      <c r="F365" s="42">
        <v>51</v>
      </c>
      <c r="G365" s="5">
        <v>51</v>
      </c>
      <c r="I365" s="52">
        <v>51</v>
      </c>
      <c r="K365" s="14">
        <f t="shared" si="18"/>
        <v>51</v>
      </c>
      <c r="L365" s="15">
        <f t="shared" si="19"/>
        <v>0</v>
      </c>
      <c r="M365" s="16">
        <f t="shared" si="17"/>
        <v>51</v>
      </c>
      <c r="N365" s="55">
        <v>51</v>
      </c>
    </row>
    <row r="366" spans="1:30" x14ac:dyDescent="0.25">
      <c r="A366" s="38">
        <v>415</v>
      </c>
      <c r="B366" s="39" t="s">
        <v>319</v>
      </c>
      <c r="C366" s="40" t="s">
        <v>315</v>
      </c>
      <c r="D366" s="41"/>
      <c r="E366" s="40" t="s">
        <v>13</v>
      </c>
      <c r="F366" s="42">
        <v>2</v>
      </c>
      <c r="G366" s="5">
        <v>2</v>
      </c>
      <c r="I366" s="52">
        <v>2</v>
      </c>
      <c r="K366" s="14">
        <f t="shared" si="18"/>
        <v>2</v>
      </c>
      <c r="L366" s="15">
        <f t="shared" si="19"/>
        <v>0</v>
      </c>
      <c r="M366" s="16">
        <f t="shared" si="17"/>
        <v>2</v>
      </c>
      <c r="N366" s="55">
        <v>2</v>
      </c>
    </row>
    <row r="367" spans="1:30" x14ac:dyDescent="0.25">
      <c r="A367" s="38">
        <v>416</v>
      </c>
      <c r="B367" s="39" t="s">
        <v>319</v>
      </c>
      <c r="C367" s="40" t="s">
        <v>316</v>
      </c>
      <c r="D367" s="41"/>
      <c r="E367" s="40" t="s">
        <v>13</v>
      </c>
      <c r="F367" s="42">
        <v>48</v>
      </c>
      <c r="G367" s="5">
        <v>48</v>
      </c>
      <c r="H367" s="5">
        <v>9</v>
      </c>
      <c r="I367" s="52">
        <v>39</v>
      </c>
      <c r="K367" s="14">
        <f t="shared" si="18"/>
        <v>39</v>
      </c>
      <c r="L367" s="15">
        <f t="shared" si="19"/>
        <v>0</v>
      </c>
      <c r="M367" s="16">
        <f t="shared" si="17"/>
        <v>39</v>
      </c>
      <c r="Y367" s="55">
        <v>39</v>
      </c>
    </row>
    <row r="368" spans="1:30" x14ac:dyDescent="0.25">
      <c r="A368" s="38">
        <v>417</v>
      </c>
      <c r="B368" s="39" t="s">
        <v>320</v>
      </c>
      <c r="C368" s="40" t="s">
        <v>315</v>
      </c>
      <c r="D368" s="41"/>
      <c r="E368" s="40" t="s">
        <v>13</v>
      </c>
      <c r="F368" s="42">
        <v>1</v>
      </c>
      <c r="G368" s="5">
        <v>1</v>
      </c>
      <c r="I368" s="52">
        <v>1</v>
      </c>
      <c r="J368" s="1">
        <v>1</v>
      </c>
      <c r="K368" s="14">
        <f t="shared" si="18"/>
        <v>2</v>
      </c>
      <c r="L368" s="15">
        <f t="shared" si="19"/>
        <v>0</v>
      </c>
      <c r="M368" s="16">
        <f t="shared" si="17"/>
        <v>2</v>
      </c>
      <c r="N368" s="55">
        <v>1</v>
      </c>
      <c r="Z368" s="55">
        <v>1</v>
      </c>
    </row>
    <row r="369" spans="1:30" x14ac:dyDescent="0.25">
      <c r="A369" s="38">
        <v>418</v>
      </c>
      <c r="B369" s="39" t="s">
        <v>320</v>
      </c>
      <c r="C369" s="40" t="s">
        <v>316</v>
      </c>
      <c r="D369" s="41"/>
      <c r="E369" s="40" t="s">
        <v>13</v>
      </c>
      <c r="F369" s="42">
        <v>9</v>
      </c>
      <c r="G369" s="5">
        <v>9</v>
      </c>
      <c r="I369" s="52">
        <v>9</v>
      </c>
      <c r="K369" s="14">
        <f t="shared" si="18"/>
        <v>9</v>
      </c>
      <c r="L369" s="15">
        <f t="shared" si="19"/>
        <v>0</v>
      </c>
      <c r="M369" s="16">
        <f t="shared" si="17"/>
        <v>9</v>
      </c>
      <c r="N369" s="55">
        <v>9</v>
      </c>
    </row>
    <row r="370" spans="1:30" x14ac:dyDescent="0.25">
      <c r="A370" s="38">
        <v>419</v>
      </c>
      <c r="B370" s="39" t="s">
        <v>320</v>
      </c>
      <c r="C370" s="40" t="s">
        <v>312</v>
      </c>
      <c r="D370" s="41"/>
      <c r="E370" s="40" t="s">
        <v>13</v>
      </c>
      <c r="F370" s="42">
        <v>8</v>
      </c>
      <c r="G370" s="5">
        <v>9</v>
      </c>
      <c r="I370" s="52">
        <v>9</v>
      </c>
      <c r="K370" s="14">
        <f t="shared" si="18"/>
        <v>9</v>
      </c>
      <c r="L370" s="15">
        <f t="shared" si="19"/>
        <v>0</v>
      </c>
      <c r="M370" s="16">
        <f t="shared" si="17"/>
        <v>9</v>
      </c>
      <c r="N370" s="55">
        <v>9</v>
      </c>
    </row>
    <row r="371" spans="1:30" x14ac:dyDescent="0.25">
      <c r="A371" s="38">
        <v>420</v>
      </c>
      <c r="B371" s="39" t="s">
        <v>320</v>
      </c>
      <c r="C371" s="40" t="s">
        <v>314</v>
      </c>
      <c r="D371" s="41"/>
      <c r="E371" s="40" t="s">
        <v>13</v>
      </c>
      <c r="F371" s="42">
        <v>4</v>
      </c>
      <c r="G371" s="5">
        <v>4</v>
      </c>
      <c r="H371" s="5">
        <v>4</v>
      </c>
      <c r="I371" s="52">
        <v>0</v>
      </c>
      <c r="K371" s="14">
        <f t="shared" si="18"/>
        <v>0</v>
      </c>
      <c r="L371" s="15">
        <f t="shared" si="19"/>
        <v>0</v>
      </c>
      <c r="M371" s="16">
        <f t="shared" si="17"/>
        <v>0</v>
      </c>
    </row>
    <row r="372" spans="1:30" x14ac:dyDescent="0.25">
      <c r="A372" s="38" t="s">
        <v>321</v>
      </c>
      <c r="B372" s="39" t="s">
        <v>322</v>
      </c>
      <c r="C372" s="40" t="s">
        <v>323</v>
      </c>
      <c r="D372" s="41"/>
      <c r="E372" s="40" t="s">
        <v>13</v>
      </c>
      <c r="F372" s="42">
        <v>4</v>
      </c>
      <c r="G372" s="5">
        <v>0</v>
      </c>
      <c r="I372" s="52">
        <v>4</v>
      </c>
      <c r="K372" s="14">
        <f t="shared" si="18"/>
        <v>4</v>
      </c>
      <c r="L372" s="15">
        <f t="shared" si="19"/>
        <v>0</v>
      </c>
      <c r="M372" s="16">
        <f t="shared" si="17"/>
        <v>4</v>
      </c>
      <c r="N372" s="55">
        <v>4</v>
      </c>
    </row>
    <row r="373" spans="1:30" x14ac:dyDescent="0.25">
      <c r="A373" s="38">
        <v>421</v>
      </c>
      <c r="B373" s="39" t="s">
        <v>322</v>
      </c>
      <c r="C373" s="40" t="s">
        <v>324</v>
      </c>
      <c r="D373" s="41"/>
      <c r="E373" s="40" t="s">
        <v>13</v>
      </c>
      <c r="F373" s="42">
        <v>4</v>
      </c>
      <c r="G373" s="5">
        <v>4</v>
      </c>
      <c r="I373" s="52">
        <v>4</v>
      </c>
      <c r="K373" s="14">
        <f t="shared" si="18"/>
        <v>4</v>
      </c>
      <c r="L373" s="15">
        <f t="shared" si="19"/>
        <v>0</v>
      </c>
      <c r="M373" s="16">
        <f t="shared" si="17"/>
        <v>4</v>
      </c>
      <c r="N373" s="55">
        <v>4</v>
      </c>
    </row>
    <row r="374" spans="1:30" x14ac:dyDescent="0.25">
      <c r="A374" s="38">
        <v>422</v>
      </c>
      <c r="B374" s="39" t="s">
        <v>322</v>
      </c>
      <c r="C374" s="40" t="s">
        <v>325</v>
      </c>
      <c r="D374" s="41"/>
      <c r="E374" s="40" t="s">
        <v>13</v>
      </c>
      <c r="F374" s="42">
        <v>2</v>
      </c>
      <c r="G374" s="5">
        <v>2</v>
      </c>
      <c r="I374" s="52">
        <v>2</v>
      </c>
      <c r="K374" s="14">
        <f t="shared" si="18"/>
        <v>2</v>
      </c>
      <c r="L374" s="15">
        <f t="shared" si="19"/>
        <v>0</v>
      </c>
      <c r="M374" s="16">
        <f t="shared" si="17"/>
        <v>2</v>
      </c>
      <c r="N374" s="55">
        <v>2</v>
      </c>
    </row>
    <row r="375" spans="1:30" x14ac:dyDescent="0.25">
      <c r="A375" s="38">
        <v>423</v>
      </c>
      <c r="B375" s="39" t="s">
        <v>326</v>
      </c>
      <c r="C375" s="40" t="s">
        <v>327</v>
      </c>
      <c r="D375" s="41"/>
      <c r="E375" s="40" t="s">
        <v>13</v>
      </c>
      <c r="F375" s="42">
        <v>1</v>
      </c>
      <c r="G375" s="5">
        <v>1</v>
      </c>
      <c r="H375" s="5">
        <v>1</v>
      </c>
      <c r="I375" s="52">
        <v>0</v>
      </c>
      <c r="K375" s="14">
        <f t="shared" si="18"/>
        <v>0</v>
      </c>
      <c r="L375" s="15">
        <f t="shared" si="19"/>
        <v>0</v>
      </c>
      <c r="M375" s="16">
        <f t="shared" si="17"/>
        <v>0</v>
      </c>
    </row>
    <row r="376" spans="1:30" x14ac:dyDescent="0.25">
      <c r="A376" s="38">
        <v>424</v>
      </c>
      <c r="B376" s="39" t="s">
        <v>326</v>
      </c>
      <c r="C376" s="40" t="s">
        <v>328</v>
      </c>
      <c r="D376" s="41"/>
      <c r="E376" s="40" t="s">
        <v>13</v>
      </c>
      <c r="F376" s="42">
        <v>6</v>
      </c>
      <c r="G376" s="5">
        <v>6</v>
      </c>
      <c r="I376" s="52">
        <v>6</v>
      </c>
      <c r="K376" s="14">
        <f t="shared" si="18"/>
        <v>6</v>
      </c>
      <c r="L376" s="15">
        <f t="shared" si="19"/>
        <v>0</v>
      </c>
      <c r="M376" s="16">
        <f t="shared" si="17"/>
        <v>6</v>
      </c>
      <c r="O376" s="55">
        <v>6</v>
      </c>
    </row>
    <row r="377" spans="1:30" x14ac:dyDescent="0.25">
      <c r="A377" s="38">
        <v>425</v>
      </c>
      <c r="B377" s="39" t="s">
        <v>326</v>
      </c>
      <c r="C377" s="40" t="s">
        <v>329</v>
      </c>
      <c r="D377" s="41"/>
      <c r="E377" s="40" t="s">
        <v>13</v>
      </c>
      <c r="F377" s="42">
        <v>9</v>
      </c>
      <c r="G377" s="5">
        <v>9</v>
      </c>
      <c r="H377" s="5">
        <v>2</v>
      </c>
      <c r="I377" s="52">
        <v>7</v>
      </c>
      <c r="K377" s="14">
        <f t="shared" si="18"/>
        <v>7</v>
      </c>
      <c r="L377" s="15">
        <f t="shared" si="19"/>
        <v>0</v>
      </c>
      <c r="M377" s="16">
        <f t="shared" si="17"/>
        <v>7</v>
      </c>
      <c r="O377" s="55">
        <v>7</v>
      </c>
    </row>
    <row r="378" spans="1:30" x14ac:dyDescent="0.25">
      <c r="A378" s="38">
        <v>426</v>
      </c>
      <c r="B378" s="39" t="s">
        <v>326</v>
      </c>
      <c r="C378" s="40" t="s">
        <v>330</v>
      </c>
      <c r="D378" s="41"/>
      <c r="E378" s="40" t="s">
        <v>13</v>
      </c>
      <c r="F378" s="42">
        <v>2</v>
      </c>
      <c r="G378" s="5">
        <v>2</v>
      </c>
      <c r="H378" s="5">
        <v>1</v>
      </c>
      <c r="I378" s="52">
        <v>1</v>
      </c>
      <c r="K378" s="14">
        <f t="shared" si="18"/>
        <v>1</v>
      </c>
      <c r="L378" s="15">
        <f t="shared" si="19"/>
        <v>0</v>
      </c>
      <c r="M378" s="16">
        <f t="shared" si="17"/>
        <v>1</v>
      </c>
      <c r="O378" s="55">
        <v>1</v>
      </c>
    </row>
    <row r="379" spans="1:30" x14ac:dyDescent="0.25">
      <c r="A379" s="38">
        <v>427</v>
      </c>
      <c r="B379" s="39" t="s">
        <v>331</v>
      </c>
      <c r="C379" s="40" t="s">
        <v>327</v>
      </c>
      <c r="D379" s="41"/>
      <c r="E379" s="40" t="s">
        <v>15</v>
      </c>
      <c r="F379" s="42">
        <v>9</v>
      </c>
      <c r="G379" s="5">
        <v>7</v>
      </c>
      <c r="I379" s="52">
        <v>9</v>
      </c>
      <c r="J379" s="1">
        <v>2</v>
      </c>
      <c r="K379" s="14">
        <f t="shared" si="18"/>
        <v>11</v>
      </c>
      <c r="L379" s="15">
        <f t="shared" si="19"/>
        <v>0</v>
      </c>
      <c r="M379" s="16">
        <f t="shared" si="17"/>
        <v>11</v>
      </c>
      <c r="AB379" s="55">
        <v>2</v>
      </c>
      <c r="AD379" s="55">
        <v>9</v>
      </c>
    </row>
    <row r="380" spans="1:30" x14ac:dyDescent="0.25">
      <c r="A380" s="38">
        <v>428</v>
      </c>
      <c r="B380" s="39" t="s">
        <v>331</v>
      </c>
      <c r="C380" s="40" t="s">
        <v>328</v>
      </c>
      <c r="D380" s="41"/>
      <c r="E380" s="40" t="s">
        <v>15</v>
      </c>
      <c r="F380" s="42">
        <v>3</v>
      </c>
      <c r="G380" s="5">
        <v>4</v>
      </c>
      <c r="I380" s="52">
        <v>3</v>
      </c>
      <c r="K380" s="14">
        <f t="shared" si="18"/>
        <v>3</v>
      </c>
      <c r="L380" s="15">
        <f t="shared" si="19"/>
        <v>0</v>
      </c>
      <c r="M380" s="16">
        <f t="shared" si="17"/>
        <v>3</v>
      </c>
      <c r="O380" s="55">
        <v>3</v>
      </c>
    </row>
    <row r="381" spans="1:30" x14ac:dyDescent="0.25">
      <c r="A381" s="38">
        <v>429</v>
      </c>
      <c r="B381" s="39" t="s">
        <v>332</v>
      </c>
      <c r="C381" s="40" t="s">
        <v>333</v>
      </c>
      <c r="D381" s="41"/>
      <c r="E381" s="40" t="s">
        <v>15</v>
      </c>
      <c r="F381" s="42">
        <v>1</v>
      </c>
      <c r="G381" s="5">
        <v>1</v>
      </c>
      <c r="I381" s="52">
        <v>1</v>
      </c>
      <c r="K381" s="14">
        <f t="shared" si="18"/>
        <v>1</v>
      </c>
      <c r="L381" s="15">
        <f t="shared" si="19"/>
        <v>0</v>
      </c>
      <c r="M381" s="16">
        <f t="shared" si="17"/>
        <v>1</v>
      </c>
      <c r="AD381" s="55">
        <v>1</v>
      </c>
    </row>
    <row r="382" spans="1:30" x14ac:dyDescent="0.25">
      <c r="A382" s="38">
        <v>430</v>
      </c>
      <c r="B382" s="39" t="s">
        <v>332</v>
      </c>
      <c r="C382" s="40" t="s">
        <v>334</v>
      </c>
      <c r="D382" s="41"/>
      <c r="E382" s="40" t="s">
        <v>15</v>
      </c>
      <c r="F382" s="42">
        <v>2</v>
      </c>
      <c r="G382" s="5">
        <v>2</v>
      </c>
      <c r="I382" s="52">
        <v>2</v>
      </c>
      <c r="K382" s="14">
        <f t="shared" si="18"/>
        <v>2</v>
      </c>
      <c r="L382" s="15">
        <f t="shared" si="19"/>
        <v>0</v>
      </c>
      <c r="M382" s="16">
        <f t="shared" si="17"/>
        <v>2</v>
      </c>
      <c r="AD382" s="55">
        <v>2</v>
      </c>
    </row>
    <row r="383" spans="1:30" x14ac:dyDescent="0.25">
      <c r="A383" s="38">
        <v>431</v>
      </c>
      <c r="B383" s="39" t="s">
        <v>332</v>
      </c>
      <c r="C383" s="40" t="s">
        <v>327</v>
      </c>
      <c r="D383" s="41"/>
      <c r="E383" s="40" t="s">
        <v>15</v>
      </c>
      <c r="F383" s="42">
        <v>10</v>
      </c>
      <c r="G383" s="5">
        <v>10</v>
      </c>
      <c r="I383" s="52">
        <v>10</v>
      </c>
      <c r="K383" s="14">
        <f t="shared" si="18"/>
        <v>10</v>
      </c>
      <c r="L383" s="15">
        <f t="shared" si="19"/>
        <v>0</v>
      </c>
      <c r="M383" s="16">
        <f t="shared" si="17"/>
        <v>10</v>
      </c>
      <c r="AD383" s="55">
        <v>10</v>
      </c>
    </row>
    <row r="384" spans="1:30" x14ac:dyDescent="0.25">
      <c r="A384" s="38">
        <v>432</v>
      </c>
      <c r="B384" s="39" t="s">
        <v>332</v>
      </c>
      <c r="C384" s="40" t="s">
        <v>328</v>
      </c>
      <c r="D384" s="41"/>
      <c r="E384" s="40" t="s">
        <v>15</v>
      </c>
      <c r="F384" s="42">
        <v>17</v>
      </c>
      <c r="G384" s="5">
        <v>17</v>
      </c>
      <c r="I384" s="52">
        <v>17</v>
      </c>
      <c r="K384" s="14">
        <f t="shared" si="18"/>
        <v>17</v>
      </c>
      <c r="L384" s="15">
        <f t="shared" si="19"/>
        <v>0</v>
      </c>
      <c r="M384" s="16">
        <f t="shared" si="17"/>
        <v>17</v>
      </c>
      <c r="O384" s="55">
        <v>17</v>
      </c>
    </row>
    <row r="385" spans="1:31" x14ac:dyDescent="0.25">
      <c r="A385" s="38">
        <v>433</v>
      </c>
      <c r="B385" s="39" t="s">
        <v>332</v>
      </c>
      <c r="C385" s="40" t="s">
        <v>329</v>
      </c>
      <c r="D385" s="41"/>
      <c r="E385" s="40" t="s">
        <v>15</v>
      </c>
      <c r="F385" s="42">
        <v>32</v>
      </c>
      <c r="G385" s="5">
        <v>31</v>
      </c>
      <c r="I385" s="52">
        <v>32</v>
      </c>
      <c r="K385" s="14">
        <f t="shared" si="18"/>
        <v>32</v>
      </c>
      <c r="L385" s="15">
        <f t="shared" si="19"/>
        <v>0</v>
      </c>
      <c r="M385" s="16">
        <f t="shared" si="17"/>
        <v>32</v>
      </c>
      <c r="P385" s="55">
        <v>32</v>
      </c>
    </row>
    <row r="386" spans="1:31" x14ac:dyDescent="0.25">
      <c r="A386" s="38">
        <v>434</v>
      </c>
      <c r="B386" s="39" t="s">
        <v>332</v>
      </c>
      <c r="C386" s="40" t="s">
        <v>330</v>
      </c>
      <c r="D386" s="41"/>
      <c r="E386" s="40" t="s">
        <v>15</v>
      </c>
      <c r="F386" s="42">
        <v>17</v>
      </c>
      <c r="G386" s="5">
        <v>17</v>
      </c>
      <c r="I386" s="52">
        <v>17</v>
      </c>
      <c r="K386" s="14">
        <f t="shared" si="18"/>
        <v>17</v>
      </c>
      <c r="L386" s="15">
        <f t="shared" si="19"/>
        <v>0</v>
      </c>
      <c r="M386" s="16">
        <f t="shared" si="17"/>
        <v>17</v>
      </c>
      <c r="O386" s="55">
        <v>17</v>
      </c>
    </row>
    <row r="387" spans="1:31" x14ac:dyDescent="0.25">
      <c r="A387" s="38">
        <v>435</v>
      </c>
      <c r="B387" s="39" t="s">
        <v>332</v>
      </c>
      <c r="C387" s="40" t="s">
        <v>335</v>
      </c>
      <c r="D387" s="41"/>
      <c r="E387" s="40" t="s">
        <v>15</v>
      </c>
      <c r="F387" s="42">
        <v>4</v>
      </c>
      <c r="G387" s="5">
        <v>4</v>
      </c>
      <c r="I387" s="52">
        <v>4</v>
      </c>
      <c r="K387" s="14">
        <f t="shared" si="18"/>
        <v>4</v>
      </c>
      <c r="L387" s="15">
        <f t="shared" si="19"/>
        <v>0</v>
      </c>
      <c r="M387" s="16">
        <f t="shared" si="17"/>
        <v>4</v>
      </c>
      <c r="P387" s="55">
        <v>4</v>
      </c>
    </row>
    <row r="388" spans="1:31" x14ac:dyDescent="0.25">
      <c r="A388" s="38">
        <v>436</v>
      </c>
      <c r="B388" s="39" t="s">
        <v>336</v>
      </c>
      <c r="C388" s="40" t="s">
        <v>337</v>
      </c>
      <c r="D388" s="41"/>
      <c r="E388" s="40" t="s">
        <v>13</v>
      </c>
      <c r="F388" s="42">
        <v>15</v>
      </c>
      <c r="G388" s="5">
        <v>15</v>
      </c>
      <c r="H388" s="5">
        <v>1</v>
      </c>
      <c r="I388" s="52">
        <v>14</v>
      </c>
      <c r="K388" s="14">
        <f t="shared" si="18"/>
        <v>14</v>
      </c>
      <c r="L388" s="15">
        <f t="shared" si="19"/>
        <v>0</v>
      </c>
      <c r="M388" s="16">
        <f t="shared" si="17"/>
        <v>14</v>
      </c>
      <c r="R388" s="55">
        <v>4</v>
      </c>
      <c r="X388" s="55">
        <v>10</v>
      </c>
    </row>
    <row r="389" spans="1:31" x14ac:dyDescent="0.25">
      <c r="A389" s="38">
        <v>437</v>
      </c>
      <c r="B389" s="39" t="s">
        <v>336</v>
      </c>
      <c r="C389" s="40" t="s">
        <v>333</v>
      </c>
      <c r="D389" s="41"/>
      <c r="E389" s="40" t="s">
        <v>13</v>
      </c>
      <c r="F389" s="42">
        <v>2</v>
      </c>
      <c r="G389" s="5">
        <v>2</v>
      </c>
      <c r="I389" s="52">
        <v>2</v>
      </c>
      <c r="K389" s="14">
        <f t="shared" si="18"/>
        <v>2</v>
      </c>
      <c r="L389" s="15">
        <f t="shared" si="19"/>
        <v>0</v>
      </c>
      <c r="M389" s="16">
        <f t="shared" ref="M389:M452" si="20">SUM(N389:EA389)</f>
        <v>2</v>
      </c>
      <c r="AC389" s="55">
        <v>2</v>
      </c>
    </row>
    <row r="390" spans="1:31" x14ac:dyDescent="0.25">
      <c r="A390" s="38">
        <v>438</v>
      </c>
      <c r="B390" s="39" t="s">
        <v>336</v>
      </c>
      <c r="C390" s="40" t="s">
        <v>334</v>
      </c>
      <c r="D390" s="41"/>
      <c r="E390" s="40" t="s">
        <v>13</v>
      </c>
      <c r="F390" s="42">
        <v>10</v>
      </c>
      <c r="G390" s="5">
        <v>10</v>
      </c>
      <c r="H390" s="5">
        <v>6</v>
      </c>
      <c r="I390" s="52">
        <v>4</v>
      </c>
      <c r="K390" s="14">
        <f t="shared" ref="K390:K453" si="21">SUM(I390:J390)</f>
        <v>4</v>
      </c>
      <c r="L390" s="15">
        <f t="shared" ref="L390:L453" si="22">+M390-K390</f>
        <v>0</v>
      </c>
      <c r="M390" s="16">
        <f t="shared" si="20"/>
        <v>4</v>
      </c>
      <c r="AE390" s="55">
        <v>4</v>
      </c>
    </row>
    <row r="391" spans="1:31" x14ac:dyDescent="0.25">
      <c r="A391" s="38">
        <v>439</v>
      </c>
      <c r="B391" s="39" t="s">
        <v>336</v>
      </c>
      <c r="C391" s="40" t="s">
        <v>338</v>
      </c>
      <c r="D391" s="41"/>
      <c r="E391" s="40" t="s">
        <v>13</v>
      </c>
      <c r="F391" s="42">
        <v>6</v>
      </c>
      <c r="G391" s="5">
        <v>6</v>
      </c>
      <c r="I391" s="52">
        <v>6</v>
      </c>
      <c r="K391" s="14">
        <f t="shared" si="21"/>
        <v>6</v>
      </c>
      <c r="L391" s="15">
        <f t="shared" si="22"/>
        <v>0</v>
      </c>
      <c r="M391" s="16">
        <f t="shared" si="20"/>
        <v>6</v>
      </c>
      <c r="N391" s="55">
        <v>5</v>
      </c>
      <c r="R391" s="55">
        <v>1</v>
      </c>
    </row>
    <row r="392" spans="1:31" x14ac:dyDescent="0.25">
      <c r="A392" s="38">
        <v>440</v>
      </c>
      <c r="B392" s="39" t="s">
        <v>336</v>
      </c>
      <c r="C392" s="40" t="s">
        <v>339</v>
      </c>
      <c r="D392" s="41"/>
      <c r="E392" s="40" t="s">
        <v>13</v>
      </c>
      <c r="F392" s="42">
        <v>3</v>
      </c>
      <c r="G392" s="5">
        <v>3</v>
      </c>
      <c r="I392" s="52">
        <v>3</v>
      </c>
      <c r="K392" s="14">
        <f t="shared" si="21"/>
        <v>3</v>
      </c>
      <c r="L392" s="15">
        <f t="shared" si="22"/>
        <v>0</v>
      </c>
      <c r="M392" s="16">
        <f t="shared" si="20"/>
        <v>3</v>
      </c>
      <c r="X392" s="55">
        <v>3</v>
      </c>
    </row>
    <row r="393" spans="1:31" x14ac:dyDescent="0.25">
      <c r="A393" s="38">
        <v>441</v>
      </c>
      <c r="B393" s="39" t="s">
        <v>336</v>
      </c>
      <c r="C393" s="40" t="s">
        <v>328</v>
      </c>
      <c r="D393" s="41"/>
      <c r="E393" s="40" t="s">
        <v>13</v>
      </c>
      <c r="F393" s="42">
        <v>115</v>
      </c>
      <c r="G393" s="5">
        <v>117</v>
      </c>
      <c r="I393" s="52">
        <v>117</v>
      </c>
      <c r="J393" s="1">
        <v>9</v>
      </c>
      <c r="K393" s="14">
        <f t="shared" si="21"/>
        <v>126</v>
      </c>
      <c r="L393" s="15">
        <f t="shared" si="22"/>
        <v>0</v>
      </c>
      <c r="M393" s="16">
        <f t="shared" si="20"/>
        <v>126</v>
      </c>
      <c r="R393" s="55">
        <v>1</v>
      </c>
      <c r="Z393" s="55">
        <v>9</v>
      </c>
      <c r="AE393" s="55">
        <v>116</v>
      </c>
    </row>
    <row r="394" spans="1:31" x14ac:dyDescent="0.25">
      <c r="A394" s="38">
        <v>442</v>
      </c>
      <c r="B394" s="39" t="s">
        <v>336</v>
      </c>
      <c r="C394" s="40" t="s">
        <v>329</v>
      </c>
      <c r="D394" s="41"/>
      <c r="E394" s="40" t="s">
        <v>13</v>
      </c>
      <c r="F394" s="42">
        <v>114</v>
      </c>
      <c r="G394" s="5">
        <v>114</v>
      </c>
      <c r="I394" s="52">
        <v>114</v>
      </c>
      <c r="J394" s="1">
        <v>1</v>
      </c>
      <c r="K394" s="14">
        <f t="shared" si="21"/>
        <v>115</v>
      </c>
      <c r="L394" s="15">
        <f t="shared" si="22"/>
        <v>0</v>
      </c>
      <c r="M394" s="16">
        <f t="shared" si="20"/>
        <v>115</v>
      </c>
      <c r="R394" s="55">
        <v>2</v>
      </c>
      <c r="V394" s="55">
        <v>112</v>
      </c>
      <c r="Z394" s="55">
        <v>1</v>
      </c>
    </row>
    <row r="395" spans="1:31" x14ac:dyDescent="0.25">
      <c r="A395" s="38">
        <v>443</v>
      </c>
      <c r="B395" s="39" t="s">
        <v>336</v>
      </c>
      <c r="C395" s="40" t="s">
        <v>340</v>
      </c>
      <c r="D395" s="41"/>
      <c r="E395" s="40" t="s">
        <v>13</v>
      </c>
      <c r="F395" s="42">
        <v>8</v>
      </c>
      <c r="G395" s="5">
        <v>8</v>
      </c>
      <c r="I395" s="52">
        <v>8</v>
      </c>
      <c r="K395" s="14">
        <f t="shared" si="21"/>
        <v>8</v>
      </c>
      <c r="L395" s="15">
        <f t="shared" si="22"/>
        <v>0</v>
      </c>
      <c r="M395" s="16">
        <f t="shared" si="20"/>
        <v>8</v>
      </c>
      <c r="U395" s="55">
        <v>3</v>
      </c>
      <c r="W395" s="55">
        <v>5</v>
      </c>
    </row>
    <row r="396" spans="1:31" x14ac:dyDescent="0.25">
      <c r="A396" s="38">
        <v>444</v>
      </c>
      <c r="B396" s="39" t="s">
        <v>336</v>
      </c>
      <c r="C396" s="40" t="s">
        <v>330</v>
      </c>
      <c r="D396" s="41"/>
      <c r="E396" s="40" t="s">
        <v>13</v>
      </c>
      <c r="F396" s="42">
        <v>101</v>
      </c>
      <c r="G396" s="5">
        <v>97</v>
      </c>
      <c r="I396" s="52">
        <v>101</v>
      </c>
      <c r="K396" s="14">
        <f t="shared" si="21"/>
        <v>101</v>
      </c>
      <c r="L396" s="15">
        <f t="shared" si="22"/>
        <v>0</v>
      </c>
      <c r="M396" s="16">
        <f t="shared" si="20"/>
        <v>101</v>
      </c>
      <c r="T396" s="55">
        <v>101</v>
      </c>
    </row>
    <row r="397" spans="1:31" x14ac:dyDescent="0.25">
      <c r="A397" s="38">
        <v>445</v>
      </c>
      <c r="B397" s="39" t="s">
        <v>336</v>
      </c>
      <c r="C397" s="40" t="s">
        <v>335</v>
      </c>
      <c r="D397" s="41"/>
      <c r="E397" s="40" t="s">
        <v>13</v>
      </c>
      <c r="F397" s="42">
        <v>37</v>
      </c>
      <c r="G397" s="5">
        <v>37</v>
      </c>
      <c r="I397" s="52">
        <v>37</v>
      </c>
      <c r="K397" s="14">
        <f t="shared" si="21"/>
        <v>37</v>
      </c>
      <c r="L397" s="15">
        <f t="shared" si="22"/>
        <v>0</v>
      </c>
      <c r="M397" s="16">
        <f t="shared" si="20"/>
        <v>37</v>
      </c>
      <c r="V397" s="55">
        <v>37</v>
      </c>
    </row>
    <row r="398" spans="1:31" x14ac:dyDescent="0.25">
      <c r="A398" s="38">
        <v>446</v>
      </c>
      <c r="B398" s="39" t="s">
        <v>341</v>
      </c>
      <c r="C398" s="40" t="s">
        <v>327</v>
      </c>
      <c r="D398" s="41"/>
      <c r="E398" s="40" t="s">
        <v>13</v>
      </c>
      <c r="F398" s="42">
        <v>300</v>
      </c>
      <c r="G398" s="5">
        <v>285</v>
      </c>
      <c r="I398" s="52">
        <v>300</v>
      </c>
      <c r="J398" s="1">
        <v>11</v>
      </c>
      <c r="K398" s="14">
        <f t="shared" si="21"/>
        <v>311</v>
      </c>
      <c r="L398" s="15">
        <f t="shared" si="22"/>
        <v>0</v>
      </c>
      <c r="M398" s="16">
        <f t="shared" si="20"/>
        <v>311</v>
      </c>
      <c r="R398" s="55">
        <v>210</v>
      </c>
      <c r="W398" s="55">
        <v>90</v>
      </c>
      <c r="Z398" s="55">
        <v>11</v>
      </c>
    </row>
    <row r="399" spans="1:31" x14ac:dyDescent="0.25">
      <c r="A399" s="38">
        <v>447</v>
      </c>
      <c r="B399" s="39" t="s">
        <v>341</v>
      </c>
      <c r="C399" s="40" t="s">
        <v>338</v>
      </c>
      <c r="D399" s="41"/>
      <c r="E399" s="40" t="s">
        <v>13</v>
      </c>
      <c r="F399" s="42">
        <v>2</v>
      </c>
      <c r="G399" s="5">
        <v>2</v>
      </c>
      <c r="I399" s="52">
        <v>2</v>
      </c>
      <c r="K399" s="14">
        <f t="shared" si="21"/>
        <v>2</v>
      </c>
      <c r="L399" s="15">
        <f t="shared" si="22"/>
        <v>0</v>
      </c>
      <c r="M399" s="16">
        <f t="shared" si="20"/>
        <v>2</v>
      </c>
      <c r="Q399" s="55">
        <v>2</v>
      </c>
    </row>
    <row r="400" spans="1:31" x14ac:dyDescent="0.25">
      <c r="A400" s="38">
        <v>448</v>
      </c>
      <c r="B400" s="39" t="s">
        <v>341</v>
      </c>
      <c r="C400" s="40" t="s">
        <v>328</v>
      </c>
      <c r="D400" s="41"/>
      <c r="E400" s="40" t="s">
        <v>13</v>
      </c>
      <c r="F400" s="42">
        <v>165</v>
      </c>
      <c r="G400" s="5">
        <v>156</v>
      </c>
      <c r="H400" s="5">
        <v>7</v>
      </c>
      <c r="I400" s="52">
        <v>158</v>
      </c>
      <c r="J400" s="1">
        <v>11</v>
      </c>
      <c r="K400" s="14">
        <f t="shared" si="21"/>
        <v>169</v>
      </c>
      <c r="L400" s="15">
        <f t="shared" si="22"/>
        <v>0</v>
      </c>
      <c r="M400" s="16">
        <f t="shared" si="20"/>
        <v>169</v>
      </c>
      <c r="R400" s="55">
        <v>128</v>
      </c>
      <c r="W400" s="55">
        <v>30</v>
      </c>
      <c r="Z400" s="55">
        <v>11</v>
      </c>
    </row>
    <row r="401" spans="1:29" x14ac:dyDescent="0.25">
      <c r="A401" s="38">
        <v>449</v>
      </c>
      <c r="B401" s="39" t="s">
        <v>341</v>
      </c>
      <c r="C401" s="40" t="s">
        <v>329</v>
      </c>
      <c r="D401" s="41"/>
      <c r="E401" s="40" t="s">
        <v>13</v>
      </c>
      <c r="F401" s="42">
        <v>131</v>
      </c>
      <c r="G401" s="5">
        <v>125</v>
      </c>
      <c r="I401" s="52">
        <v>131</v>
      </c>
      <c r="K401" s="14">
        <f t="shared" si="21"/>
        <v>131</v>
      </c>
      <c r="L401" s="15">
        <f t="shared" si="22"/>
        <v>0</v>
      </c>
      <c r="M401" s="16">
        <f t="shared" si="20"/>
        <v>131</v>
      </c>
      <c r="X401" s="55">
        <v>50</v>
      </c>
      <c r="AC401" s="55">
        <v>81</v>
      </c>
    </row>
    <row r="402" spans="1:29" x14ac:dyDescent="0.25">
      <c r="A402" s="38">
        <v>450</v>
      </c>
      <c r="B402" s="39" t="s">
        <v>341</v>
      </c>
      <c r="C402" s="40" t="s">
        <v>330</v>
      </c>
      <c r="D402" s="41"/>
      <c r="E402" s="40" t="s">
        <v>13</v>
      </c>
      <c r="F402" s="42">
        <v>43</v>
      </c>
      <c r="G402" s="5">
        <v>37</v>
      </c>
      <c r="I402" s="52">
        <v>43</v>
      </c>
      <c r="J402" s="1">
        <v>2</v>
      </c>
      <c r="K402" s="14">
        <f t="shared" si="21"/>
        <v>45</v>
      </c>
      <c r="L402" s="15">
        <f t="shared" si="22"/>
        <v>0</v>
      </c>
      <c r="M402" s="16">
        <f t="shared" si="20"/>
        <v>45</v>
      </c>
      <c r="Z402" s="55">
        <v>2</v>
      </c>
      <c r="AB402" s="55">
        <v>43</v>
      </c>
    </row>
    <row r="403" spans="1:29" x14ac:dyDescent="0.25">
      <c r="A403" s="38">
        <v>451</v>
      </c>
      <c r="B403" s="39" t="s">
        <v>342</v>
      </c>
      <c r="C403" s="40" t="s">
        <v>337</v>
      </c>
      <c r="D403" s="41"/>
      <c r="E403" s="40" t="s">
        <v>13</v>
      </c>
      <c r="F403" s="42">
        <v>1</v>
      </c>
      <c r="G403" s="5">
        <v>1</v>
      </c>
      <c r="I403" s="52">
        <v>1</v>
      </c>
      <c r="K403" s="14">
        <f t="shared" si="21"/>
        <v>1</v>
      </c>
      <c r="L403" s="15">
        <f t="shared" si="22"/>
        <v>0</v>
      </c>
      <c r="M403" s="16">
        <f t="shared" si="20"/>
        <v>1</v>
      </c>
      <c r="Y403" s="55">
        <v>1</v>
      </c>
    </row>
    <row r="404" spans="1:29" x14ac:dyDescent="0.25">
      <c r="A404" s="38">
        <v>452</v>
      </c>
      <c r="B404" s="39" t="s">
        <v>342</v>
      </c>
      <c r="C404" s="40" t="s">
        <v>327</v>
      </c>
      <c r="D404" s="41"/>
      <c r="E404" s="40" t="s">
        <v>13</v>
      </c>
      <c r="F404" s="42">
        <v>85</v>
      </c>
      <c r="G404" s="5">
        <v>91</v>
      </c>
      <c r="H404" s="5">
        <v>6</v>
      </c>
      <c r="I404" s="52">
        <v>79</v>
      </c>
      <c r="K404" s="14">
        <f t="shared" si="21"/>
        <v>79</v>
      </c>
      <c r="L404" s="15">
        <f t="shared" si="22"/>
        <v>0</v>
      </c>
      <c r="M404" s="16">
        <f t="shared" si="20"/>
        <v>79</v>
      </c>
      <c r="V404" s="55">
        <v>79</v>
      </c>
    </row>
    <row r="405" spans="1:29" x14ac:dyDescent="0.25">
      <c r="A405" s="38">
        <v>453</v>
      </c>
      <c r="B405" s="39" t="s">
        <v>342</v>
      </c>
      <c r="C405" s="40" t="s">
        <v>328</v>
      </c>
      <c r="D405" s="41"/>
      <c r="E405" s="40" t="s">
        <v>13</v>
      </c>
      <c r="F405" s="42">
        <v>1</v>
      </c>
      <c r="G405" s="5">
        <v>1</v>
      </c>
      <c r="H405" s="5">
        <v>1</v>
      </c>
      <c r="I405" s="52">
        <v>0</v>
      </c>
      <c r="K405" s="14">
        <f t="shared" si="21"/>
        <v>0</v>
      </c>
      <c r="L405" s="15">
        <f t="shared" si="22"/>
        <v>0</v>
      </c>
      <c r="M405" s="16">
        <f t="shared" si="20"/>
        <v>0</v>
      </c>
    </row>
    <row r="406" spans="1:29" x14ac:dyDescent="0.25">
      <c r="A406" s="38">
        <v>454</v>
      </c>
      <c r="B406" s="39" t="s">
        <v>342</v>
      </c>
      <c r="C406" s="40" t="s">
        <v>329</v>
      </c>
      <c r="D406" s="41"/>
      <c r="E406" s="40" t="s">
        <v>13</v>
      </c>
      <c r="F406" s="42">
        <v>3</v>
      </c>
      <c r="G406" s="5">
        <v>3</v>
      </c>
      <c r="I406" s="52">
        <v>3</v>
      </c>
      <c r="K406" s="14">
        <f t="shared" si="21"/>
        <v>3</v>
      </c>
      <c r="L406" s="15">
        <f t="shared" si="22"/>
        <v>0</v>
      </c>
      <c r="M406" s="16">
        <f t="shared" si="20"/>
        <v>3</v>
      </c>
      <c r="P406" s="55">
        <v>3</v>
      </c>
    </row>
    <row r="407" spans="1:29" x14ac:dyDescent="0.25">
      <c r="A407" s="38">
        <v>455</v>
      </c>
      <c r="B407" s="39" t="s">
        <v>342</v>
      </c>
      <c r="C407" s="40" t="s">
        <v>330</v>
      </c>
      <c r="D407" s="41"/>
      <c r="E407" s="40" t="s">
        <v>13</v>
      </c>
      <c r="F407" s="42">
        <v>3</v>
      </c>
      <c r="G407" s="5">
        <v>3</v>
      </c>
      <c r="I407" s="52">
        <v>3</v>
      </c>
      <c r="K407" s="14">
        <f t="shared" si="21"/>
        <v>3</v>
      </c>
      <c r="L407" s="15">
        <f t="shared" si="22"/>
        <v>0</v>
      </c>
      <c r="M407" s="16">
        <f t="shared" si="20"/>
        <v>3</v>
      </c>
      <c r="P407" s="55">
        <v>3</v>
      </c>
    </row>
    <row r="408" spans="1:29" x14ac:dyDescent="0.25">
      <c r="A408" s="38">
        <v>456</v>
      </c>
      <c r="B408" s="39" t="s">
        <v>342</v>
      </c>
      <c r="C408" s="40" t="s">
        <v>335</v>
      </c>
      <c r="D408" s="41"/>
      <c r="E408" s="40" t="s">
        <v>13</v>
      </c>
      <c r="F408" s="42">
        <v>1</v>
      </c>
      <c r="G408" s="5">
        <v>1</v>
      </c>
      <c r="I408" s="52">
        <v>1</v>
      </c>
      <c r="K408" s="14">
        <f t="shared" si="21"/>
        <v>1</v>
      </c>
      <c r="L408" s="15">
        <f t="shared" si="22"/>
        <v>0</v>
      </c>
      <c r="M408" s="16">
        <f t="shared" si="20"/>
        <v>1</v>
      </c>
      <c r="P408" s="55">
        <v>1</v>
      </c>
    </row>
    <row r="409" spans="1:29" x14ac:dyDescent="0.25">
      <c r="A409" s="38">
        <v>457</v>
      </c>
      <c r="B409" s="39" t="s">
        <v>343</v>
      </c>
      <c r="C409" s="40" t="s">
        <v>328</v>
      </c>
      <c r="D409" s="41"/>
      <c r="E409" s="40" t="s">
        <v>13</v>
      </c>
      <c r="F409" s="42">
        <v>17</v>
      </c>
      <c r="G409" s="5">
        <v>17</v>
      </c>
      <c r="H409" s="5">
        <v>17</v>
      </c>
      <c r="I409" s="52">
        <v>0</v>
      </c>
      <c r="K409" s="14">
        <f t="shared" si="21"/>
        <v>0</v>
      </c>
      <c r="L409" s="15">
        <f t="shared" si="22"/>
        <v>0</v>
      </c>
      <c r="M409" s="16">
        <f t="shared" si="20"/>
        <v>0</v>
      </c>
    </row>
    <row r="410" spans="1:29" x14ac:dyDescent="0.25">
      <c r="A410" s="38">
        <v>458</v>
      </c>
      <c r="B410" s="39" t="s">
        <v>343</v>
      </c>
      <c r="C410" s="40" t="s">
        <v>329</v>
      </c>
      <c r="D410" s="41"/>
      <c r="E410" s="40" t="s">
        <v>13</v>
      </c>
      <c r="F410" s="42">
        <v>17</v>
      </c>
      <c r="G410" s="5">
        <v>17</v>
      </c>
      <c r="H410" s="5">
        <v>4</v>
      </c>
      <c r="I410" s="52">
        <v>13</v>
      </c>
      <c r="J410" s="1">
        <v>2</v>
      </c>
      <c r="K410" s="14">
        <f t="shared" si="21"/>
        <v>15</v>
      </c>
      <c r="L410" s="15">
        <f t="shared" si="22"/>
        <v>0</v>
      </c>
      <c r="M410" s="16">
        <f t="shared" si="20"/>
        <v>15</v>
      </c>
      <c r="O410" s="55">
        <v>13</v>
      </c>
      <c r="Z410" s="55">
        <v>2</v>
      </c>
    </row>
    <row r="411" spans="1:29" x14ac:dyDescent="0.25">
      <c r="A411" s="38">
        <v>459</v>
      </c>
      <c r="B411" s="39" t="s">
        <v>343</v>
      </c>
      <c r="C411" s="40" t="s">
        <v>330</v>
      </c>
      <c r="D411" s="41"/>
      <c r="E411" s="40" t="s">
        <v>13</v>
      </c>
      <c r="F411" s="42">
        <v>7</v>
      </c>
      <c r="G411" s="5">
        <v>7</v>
      </c>
      <c r="I411" s="52">
        <v>7</v>
      </c>
      <c r="K411" s="14">
        <f t="shared" si="21"/>
        <v>7</v>
      </c>
      <c r="L411" s="15">
        <f t="shared" si="22"/>
        <v>0</v>
      </c>
      <c r="M411" s="16">
        <f t="shared" si="20"/>
        <v>7</v>
      </c>
      <c r="O411" s="55">
        <v>7</v>
      </c>
    </row>
    <row r="412" spans="1:29" x14ac:dyDescent="0.25">
      <c r="A412" s="38">
        <v>460</v>
      </c>
      <c r="B412" s="39" t="s">
        <v>344</v>
      </c>
      <c r="C412" s="40" t="s">
        <v>345</v>
      </c>
      <c r="D412" s="41"/>
      <c r="E412" s="40" t="s">
        <v>13</v>
      </c>
      <c r="F412" s="42">
        <v>1</v>
      </c>
      <c r="G412" s="5">
        <v>1</v>
      </c>
      <c r="I412" s="52">
        <v>1</v>
      </c>
      <c r="K412" s="14">
        <f t="shared" si="21"/>
        <v>1</v>
      </c>
      <c r="L412" s="15">
        <f t="shared" si="22"/>
        <v>0</v>
      </c>
      <c r="M412" s="16">
        <f t="shared" si="20"/>
        <v>1</v>
      </c>
      <c r="O412" s="55">
        <v>1</v>
      </c>
    </row>
    <row r="413" spans="1:29" x14ac:dyDescent="0.25">
      <c r="A413" s="38">
        <v>461</v>
      </c>
      <c r="B413" s="39" t="s">
        <v>346</v>
      </c>
      <c r="C413" s="40" t="s">
        <v>327</v>
      </c>
      <c r="D413" s="41"/>
      <c r="E413" s="40" t="s">
        <v>13</v>
      </c>
      <c r="F413" s="42">
        <v>9</v>
      </c>
      <c r="G413" s="5">
        <v>9</v>
      </c>
      <c r="H413" s="5">
        <v>9</v>
      </c>
      <c r="I413" s="52">
        <v>0</v>
      </c>
      <c r="K413" s="14">
        <f t="shared" si="21"/>
        <v>0</v>
      </c>
      <c r="L413" s="15">
        <f t="shared" si="22"/>
        <v>0</v>
      </c>
      <c r="M413" s="16">
        <f t="shared" si="20"/>
        <v>0</v>
      </c>
    </row>
    <row r="414" spans="1:29" x14ac:dyDescent="0.25">
      <c r="A414" s="38">
        <v>462</v>
      </c>
      <c r="B414" s="39" t="s">
        <v>347</v>
      </c>
      <c r="C414" s="40" t="s">
        <v>348</v>
      </c>
      <c r="D414" s="41"/>
      <c r="E414" s="40" t="s">
        <v>13</v>
      </c>
      <c r="F414" s="42">
        <v>1</v>
      </c>
      <c r="G414" s="5">
        <v>1</v>
      </c>
      <c r="I414" s="52">
        <v>1</v>
      </c>
      <c r="K414" s="14">
        <f t="shared" si="21"/>
        <v>1</v>
      </c>
      <c r="L414" s="15">
        <f t="shared" si="22"/>
        <v>0</v>
      </c>
      <c r="M414" s="16">
        <f t="shared" si="20"/>
        <v>1</v>
      </c>
      <c r="N414" s="55">
        <v>1</v>
      </c>
    </row>
    <row r="415" spans="1:29" x14ac:dyDescent="0.25">
      <c r="A415" s="38">
        <v>463</v>
      </c>
      <c r="B415" s="39" t="s">
        <v>347</v>
      </c>
      <c r="C415" s="40" t="s">
        <v>345</v>
      </c>
      <c r="D415" s="41"/>
      <c r="E415" s="40" t="s">
        <v>13</v>
      </c>
      <c r="F415" s="42">
        <v>2</v>
      </c>
      <c r="G415" s="5">
        <v>2</v>
      </c>
      <c r="I415" s="52">
        <v>2</v>
      </c>
      <c r="K415" s="14">
        <f t="shared" si="21"/>
        <v>2</v>
      </c>
      <c r="L415" s="15">
        <f t="shared" si="22"/>
        <v>0</v>
      </c>
      <c r="M415" s="16">
        <f t="shared" si="20"/>
        <v>2</v>
      </c>
      <c r="N415" s="55">
        <v>2</v>
      </c>
    </row>
    <row r="416" spans="1:29" x14ac:dyDescent="0.25">
      <c r="A416" s="38">
        <v>464</v>
      </c>
      <c r="B416" s="39" t="s">
        <v>347</v>
      </c>
      <c r="C416" s="40" t="s">
        <v>349</v>
      </c>
      <c r="D416" s="41"/>
      <c r="E416" s="40" t="s">
        <v>13</v>
      </c>
      <c r="F416" s="42">
        <v>1</v>
      </c>
      <c r="G416" s="5">
        <v>1</v>
      </c>
      <c r="I416" s="52">
        <v>1</v>
      </c>
      <c r="K416" s="14">
        <f t="shared" si="21"/>
        <v>1</v>
      </c>
      <c r="L416" s="15">
        <f t="shared" si="22"/>
        <v>0</v>
      </c>
      <c r="M416" s="16">
        <f t="shared" si="20"/>
        <v>1</v>
      </c>
      <c r="N416" s="55">
        <v>1</v>
      </c>
    </row>
    <row r="417" spans="1:30" x14ac:dyDescent="0.25">
      <c r="A417" s="38">
        <v>465</v>
      </c>
      <c r="B417" s="39" t="s">
        <v>347</v>
      </c>
      <c r="C417" s="40" t="s">
        <v>350</v>
      </c>
      <c r="D417" s="41"/>
      <c r="E417" s="40" t="s">
        <v>13</v>
      </c>
      <c r="F417" s="42">
        <v>1</v>
      </c>
      <c r="G417" s="5">
        <v>1</v>
      </c>
      <c r="I417" s="52">
        <v>1</v>
      </c>
      <c r="K417" s="14">
        <f t="shared" si="21"/>
        <v>1</v>
      </c>
      <c r="L417" s="15">
        <f t="shared" si="22"/>
        <v>0</v>
      </c>
      <c r="M417" s="16">
        <f t="shared" si="20"/>
        <v>1</v>
      </c>
      <c r="N417" s="55">
        <v>1</v>
      </c>
    </row>
    <row r="418" spans="1:30" x14ac:dyDescent="0.25">
      <c r="A418" s="38">
        <v>466</v>
      </c>
      <c r="B418" s="39" t="s">
        <v>347</v>
      </c>
      <c r="C418" s="40" t="s">
        <v>351</v>
      </c>
      <c r="D418" s="41"/>
      <c r="E418" s="40" t="s">
        <v>13</v>
      </c>
      <c r="F418" s="42">
        <v>1</v>
      </c>
      <c r="G418" s="5">
        <v>1</v>
      </c>
      <c r="I418" s="52">
        <v>1</v>
      </c>
      <c r="K418" s="14">
        <f t="shared" si="21"/>
        <v>1</v>
      </c>
      <c r="L418" s="15">
        <f t="shared" si="22"/>
        <v>0</v>
      </c>
      <c r="M418" s="16">
        <f t="shared" si="20"/>
        <v>1</v>
      </c>
      <c r="N418" s="55">
        <v>1</v>
      </c>
    </row>
    <row r="419" spans="1:30" x14ac:dyDescent="0.25">
      <c r="A419" s="38">
        <v>467</v>
      </c>
      <c r="B419" s="39" t="s">
        <v>352</v>
      </c>
      <c r="C419" s="40" t="s">
        <v>353</v>
      </c>
      <c r="D419" s="41"/>
      <c r="E419" s="40" t="s">
        <v>386</v>
      </c>
      <c r="F419" s="42">
        <v>4</v>
      </c>
      <c r="G419" s="5">
        <v>4</v>
      </c>
      <c r="I419" s="52">
        <v>4</v>
      </c>
      <c r="K419" s="14">
        <f t="shared" si="21"/>
        <v>4</v>
      </c>
      <c r="L419" s="15">
        <f t="shared" si="22"/>
        <v>0</v>
      </c>
      <c r="M419" s="16">
        <f t="shared" si="20"/>
        <v>4</v>
      </c>
      <c r="AB419" s="55">
        <v>4</v>
      </c>
    </row>
    <row r="420" spans="1:30" x14ac:dyDescent="0.25">
      <c r="A420" s="38">
        <v>468</v>
      </c>
      <c r="B420" s="39" t="s">
        <v>354</v>
      </c>
      <c r="C420" s="40" t="s">
        <v>355</v>
      </c>
      <c r="D420" s="41"/>
      <c r="E420" s="40" t="s">
        <v>386</v>
      </c>
      <c r="F420" s="42">
        <v>4</v>
      </c>
      <c r="G420" s="5">
        <v>4</v>
      </c>
      <c r="I420" s="52">
        <v>4</v>
      </c>
      <c r="K420" s="14">
        <f t="shared" si="21"/>
        <v>4</v>
      </c>
      <c r="L420" s="15">
        <f t="shared" si="22"/>
        <v>0</v>
      </c>
      <c r="M420" s="16">
        <f t="shared" si="20"/>
        <v>4</v>
      </c>
      <c r="AB420" s="55">
        <v>4</v>
      </c>
    </row>
    <row r="421" spans="1:30" x14ac:dyDescent="0.25">
      <c r="A421" s="38">
        <v>469</v>
      </c>
      <c r="B421" s="39" t="s">
        <v>356</v>
      </c>
      <c r="C421" s="40" t="s">
        <v>357</v>
      </c>
      <c r="D421" s="41"/>
      <c r="E421" s="40" t="s">
        <v>15</v>
      </c>
      <c r="F421" s="42">
        <v>1</v>
      </c>
      <c r="G421" s="5">
        <v>1</v>
      </c>
      <c r="I421" s="52">
        <v>1</v>
      </c>
      <c r="K421" s="14">
        <f t="shared" si="21"/>
        <v>1</v>
      </c>
      <c r="L421" s="15">
        <f t="shared" si="22"/>
        <v>0</v>
      </c>
      <c r="M421" s="16">
        <f t="shared" si="20"/>
        <v>1</v>
      </c>
      <c r="U421" s="55">
        <v>1</v>
      </c>
    </row>
    <row r="422" spans="1:30" x14ac:dyDescent="0.25">
      <c r="A422" s="38">
        <v>470</v>
      </c>
      <c r="B422" s="39" t="s">
        <v>356</v>
      </c>
      <c r="C422" s="40" t="s">
        <v>358</v>
      </c>
      <c r="D422" s="41"/>
      <c r="E422" s="40" t="s">
        <v>15</v>
      </c>
      <c r="F422" s="42">
        <v>1</v>
      </c>
      <c r="G422" s="5">
        <v>1</v>
      </c>
      <c r="I422" s="52">
        <v>1</v>
      </c>
      <c r="K422" s="14">
        <f t="shared" si="21"/>
        <v>1</v>
      </c>
      <c r="L422" s="15">
        <f t="shared" si="22"/>
        <v>0</v>
      </c>
      <c r="M422" s="16">
        <f t="shared" si="20"/>
        <v>1</v>
      </c>
      <c r="U422" s="55">
        <v>1</v>
      </c>
    </row>
    <row r="423" spans="1:30" x14ac:dyDescent="0.25">
      <c r="A423" s="38">
        <v>471</v>
      </c>
      <c r="B423" s="39" t="s">
        <v>359</v>
      </c>
      <c r="C423" s="40" t="s">
        <v>360</v>
      </c>
      <c r="D423" s="41"/>
      <c r="E423" s="40" t="s">
        <v>13</v>
      </c>
      <c r="F423" s="42">
        <v>2</v>
      </c>
      <c r="G423" s="5">
        <v>2</v>
      </c>
      <c r="H423" s="5">
        <v>1</v>
      </c>
      <c r="I423" s="52">
        <v>1</v>
      </c>
      <c r="K423" s="14">
        <f t="shared" si="21"/>
        <v>1</v>
      </c>
      <c r="L423" s="15">
        <f t="shared" si="22"/>
        <v>0</v>
      </c>
      <c r="M423" s="16">
        <f t="shared" si="20"/>
        <v>1</v>
      </c>
      <c r="O423" s="55">
        <v>1</v>
      </c>
    </row>
    <row r="424" spans="1:30" x14ac:dyDescent="0.25">
      <c r="A424" s="38">
        <v>472</v>
      </c>
      <c r="B424" s="39" t="s">
        <v>359</v>
      </c>
      <c r="C424" s="40" t="s">
        <v>361</v>
      </c>
      <c r="D424" s="41"/>
      <c r="E424" s="40" t="s">
        <v>13</v>
      </c>
      <c r="F424" s="42">
        <v>2</v>
      </c>
      <c r="G424" s="5">
        <v>2</v>
      </c>
      <c r="I424" s="52">
        <v>2</v>
      </c>
      <c r="K424" s="14">
        <f t="shared" si="21"/>
        <v>2</v>
      </c>
      <c r="L424" s="15">
        <f t="shared" si="22"/>
        <v>0</v>
      </c>
      <c r="M424" s="16">
        <f t="shared" si="20"/>
        <v>2</v>
      </c>
      <c r="O424" s="55">
        <v>2</v>
      </c>
    </row>
    <row r="425" spans="1:30" x14ac:dyDescent="0.25">
      <c r="A425" s="38">
        <v>473</v>
      </c>
      <c r="B425" s="39" t="s">
        <v>359</v>
      </c>
      <c r="C425" s="40" t="s">
        <v>362</v>
      </c>
      <c r="D425" s="41"/>
      <c r="E425" s="40" t="s">
        <v>13</v>
      </c>
      <c r="F425" s="42">
        <v>4</v>
      </c>
      <c r="G425" s="5">
        <v>4</v>
      </c>
      <c r="I425" s="52">
        <v>4</v>
      </c>
      <c r="K425" s="14">
        <f t="shared" si="21"/>
        <v>4</v>
      </c>
      <c r="L425" s="15">
        <f t="shared" si="22"/>
        <v>0</v>
      </c>
      <c r="M425" s="16">
        <f t="shared" si="20"/>
        <v>4</v>
      </c>
      <c r="O425" s="55">
        <v>4</v>
      </c>
    </row>
    <row r="426" spans="1:30" x14ac:dyDescent="0.25">
      <c r="A426" s="38">
        <v>474</v>
      </c>
      <c r="B426" s="39" t="s">
        <v>359</v>
      </c>
      <c r="C426" s="40" t="s">
        <v>363</v>
      </c>
      <c r="D426" s="41"/>
      <c r="E426" s="40" t="s">
        <v>13</v>
      </c>
      <c r="F426" s="42">
        <v>1</v>
      </c>
      <c r="G426" s="5">
        <v>1</v>
      </c>
      <c r="I426" s="52">
        <v>1</v>
      </c>
      <c r="K426" s="14">
        <f t="shared" si="21"/>
        <v>1</v>
      </c>
      <c r="L426" s="15">
        <f t="shared" si="22"/>
        <v>0</v>
      </c>
      <c r="M426" s="16">
        <f t="shared" si="20"/>
        <v>1</v>
      </c>
      <c r="O426" s="55">
        <v>1</v>
      </c>
    </row>
    <row r="427" spans="1:30" x14ac:dyDescent="0.25">
      <c r="A427" s="38">
        <v>475</v>
      </c>
      <c r="B427" s="39" t="s">
        <v>364</v>
      </c>
      <c r="C427" s="40" t="s">
        <v>365</v>
      </c>
      <c r="D427" s="41"/>
      <c r="E427" s="40" t="s">
        <v>15</v>
      </c>
      <c r="F427" s="42">
        <v>1</v>
      </c>
      <c r="G427" s="5">
        <v>1</v>
      </c>
      <c r="I427" s="52">
        <v>1</v>
      </c>
      <c r="J427" s="1">
        <v>1</v>
      </c>
      <c r="K427" s="14">
        <f t="shared" si="21"/>
        <v>2</v>
      </c>
      <c r="L427" s="15">
        <f t="shared" si="22"/>
        <v>0</v>
      </c>
      <c r="M427" s="16">
        <f t="shared" si="20"/>
        <v>2</v>
      </c>
      <c r="AB427" s="55">
        <v>1</v>
      </c>
      <c r="AD427" s="55">
        <v>1</v>
      </c>
    </row>
    <row r="428" spans="1:30" x14ac:dyDescent="0.25">
      <c r="A428" s="38">
        <v>476</v>
      </c>
      <c r="B428" s="39" t="s">
        <v>364</v>
      </c>
      <c r="C428" s="40" t="s">
        <v>366</v>
      </c>
      <c r="D428" s="41"/>
      <c r="E428" s="40" t="s">
        <v>15</v>
      </c>
      <c r="F428" s="42">
        <v>6</v>
      </c>
      <c r="G428" s="5">
        <v>6</v>
      </c>
      <c r="I428" s="52">
        <v>6</v>
      </c>
      <c r="K428" s="14">
        <f t="shared" si="21"/>
        <v>6</v>
      </c>
      <c r="L428" s="15">
        <f t="shared" si="22"/>
        <v>0</v>
      </c>
      <c r="M428" s="16">
        <f t="shared" si="20"/>
        <v>6</v>
      </c>
      <c r="AD428" s="55">
        <v>6</v>
      </c>
    </row>
    <row r="429" spans="1:30" x14ac:dyDescent="0.25">
      <c r="A429" s="38">
        <v>477</v>
      </c>
      <c r="B429" s="39" t="s">
        <v>364</v>
      </c>
      <c r="C429" s="40" t="s">
        <v>360</v>
      </c>
      <c r="D429" s="41"/>
      <c r="E429" s="40" t="s">
        <v>15</v>
      </c>
      <c r="F429" s="42">
        <v>9</v>
      </c>
      <c r="G429" s="5">
        <v>9</v>
      </c>
      <c r="I429" s="52">
        <v>9</v>
      </c>
      <c r="K429" s="14">
        <f t="shared" si="21"/>
        <v>9</v>
      </c>
      <c r="L429" s="15">
        <f t="shared" si="22"/>
        <v>0</v>
      </c>
      <c r="M429" s="16">
        <f t="shared" si="20"/>
        <v>9</v>
      </c>
      <c r="AD429" s="55">
        <v>9</v>
      </c>
    </row>
    <row r="430" spans="1:30" x14ac:dyDescent="0.25">
      <c r="A430" s="38">
        <v>478</v>
      </c>
      <c r="B430" s="39" t="s">
        <v>364</v>
      </c>
      <c r="C430" s="40" t="s">
        <v>361</v>
      </c>
      <c r="D430" s="41"/>
      <c r="E430" s="40" t="s">
        <v>15</v>
      </c>
      <c r="F430" s="42">
        <v>8</v>
      </c>
      <c r="G430" s="5">
        <v>8</v>
      </c>
      <c r="I430" s="52">
        <v>8</v>
      </c>
      <c r="K430" s="14">
        <f t="shared" si="21"/>
        <v>8</v>
      </c>
      <c r="L430" s="15">
        <f t="shared" si="22"/>
        <v>0</v>
      </c>
      <c r="M430" s="16">
        <f t="shared" si="20"/>
        <v>8</v>
      </c>
      <c r="AD430" s="55">
        <v>8</v>
      </c>
    </row>
    <row r="431" spans="1:30" x14ac:dyDescent="0.25">
      <c r="A431" s="38">
        <v>479</v>
      </c>
      <c r="B431" s="39" t="s">
        <v>364</v>
      </c>
      <c r="C431" s="40" t="s">
        <v>362</v>
      </c>
      <c r="D431" s="41"/>
      <c r="E431" s="40" t="s">
        <v>15</v>
      </c>
      <c r="F431" s="42">
        <v>5</v>
      </c>
      <c r="G431" s="5">
        <v>5</v>
      </c>
      <c r="I431" s="52">
        <v>5</v>
      </c>
      <c r="J431" s="1">
        <v>1</v>
      </c>
      <c r="K431" s="14">
        <f t="shared" si="21"/>
        <v>6</v>
      </c>
      <c r="L431" s="15">
        <f t="shared" si="22"/>
        <v>0</v>
      </c>
      <c r="M431" s="16">
        <f t="shared" si="20"/>
        <v>6</v>
      </c>
      <c r="AB431" s="55">
        <v>1</v>
      </c>
      <c r="AD431" s="55">
        <v>5</v>
      </c>
    </row>
    <row r="432" spans="1:30" x14ac:dyDescent="0.25">
      <c r="A432" s="38">
        <v>480</v>
      </c>
      <c r="B432" s="39" t="s">
        <v>364</v>
      </c>
      <c r="C432" s="40" t="s">
        <v>363</v>
      </c>
      <c r="D432" s="41"/>
      <c r="E432" s="40" t="s">
        <v>15</v>
      </c>
      <c r="F432" s="42">
        <v>2</v>
      </c>
      <c r="G432" s="5">
        <v>2</v>
      </c>
      <c r="I432" s="52">
        <v>2</v>
      </c>
      <c r="K432" s="14">
        <f t="shared" si="21"/>
        <v>2</v>
      </c>
      <c r="L432" s="15">
        <f t="shared" si="22"/>
        <v>0</v>
      </c>
      <c r="M432" s="16">
        <f t="shared" si="20"/>
        <v>2</v>
      </c>
      <c r="AD432" s="55">
        <v>2</v>
      </c>
    </row>
    <row r="433" spans="1:30" x14ac:dyDescent="0.25">
      <c r="A433" s="38">
        <v>481</v>
      </c>
      <c r="B433" s="39" t="s">
        <v>364</v>
      </c>
      <c r="C433" s="40" t="s">
        <v>367</v>
      </c>
      <c r="D433" s="41"/>
      <c r="E433" s="40" t="s">
        <v>15</v>
      </c>
      <c r="F433" s="42">
        <v>2</v>
      </c>
      <c r="G433" s="5">
        <v>2</v>
      </c>
      <c r="I433" s="52">
        <v>2</v>
      </c>
      <c r="J433" s="1">
        <v>1</v>
      </c>
      <c r="K433" s="14">
        <f t="shared" si="21"/>
        <v>3</v>
      </c>
      <c r="L433" s="15">
        <f t="shared" si="22"/>
        <v>0</v>
      </c>
      <c r="M433" s="16">
        <f t="shared" si="20"/>
        <v>3</v>
      </c>
      <c r="AB433" s="55">
        <v>1</v>
      </c>
      <c r="AD433" s="55">
        <v>2</v>
      </c>
    </row>
    <row r="434" spans="1:30" x14ac:dyDescent="0.25">
      <c r="A434" s="38">
        <v>482</v>
      </c>
      <c r="B434" s="39" t="s">
        <v>364</v>
      </c>
      <c r="C434" s="40" t="s">
        <v>368</v>
      </c>
      <c r="D434" s="41"/>
      <c r="E434" s="40" t="s">
        <v>15</v>
      </c>
      <c r="F434" s="42">
        <v>2</v>
      </c>
      <c r="G434" s="5">
        <v>2</v>
      </c>
      <c r="I434" s="52">
        <v>2</v>
      </c>
      <c r="K434" s="14">
        <f t="shared" si="21"/>
        <v>2</v>
      </c>
      <c r="L434" s="15">
        <f t="shared" si="22"/>
        <v>0</v>
      </c>
      <c r="M434" s="16">
        <f t="shared" si="20"/>
        <v>2</v>
      </c>
      <c r="AD434" s="55">
        <v>2</v>
      </c>
    </row>
    <row r="435" spans="1:30" x14ac:dyDescent="0.25">
      <c r="A435" s="38">
        <v>483</v>
      </c>
      <c r="B435" s="39" t="s">
        <v>369</v>
      </c>
      <c r="C435" s="40" t="s">
        <v>366</v>
      </c>
      <c r="D435" s="41"/>
      <c r="E435" s="40" t="s">
        <v>13</v>
      </c>
      <c r="F435" s="42">
        <v>25</v>
      </c>
      <c r="G435" s="5">
        <v>25</v>
      </c>
      <c r="I435" s="52">
        <v>25</v>
      </c>
      <c r="J435" s="1">
        <v>7</v>
      </c>
      <c r="K435" s="14">
        <f t="shared" si="21"/>
        <v>32</v>
      </c>
      <c r="L435" s="15">
        <f t="shared" si="22"/>
        <v>0</v>
      </c>
      <c r="M435" s="16">
        <f t="shared" si="20"/>
        <v>32</v>
      </c>
      <c r="Q435" s="55">
        <v>25</v>
      </c>
      <c r="Z435" s="55">
        <v>7</v>
      </c>
    </row>
    <row r="436" spans="1:30" x14ac:dyDescent="0.25">
      <c r="A436" s="38">
        <v>484</v>
      </c>
      <c r="B436" s="39" t="s">
        <v>369</v>
      </c>
      <c r="C436" s="40" t="s">
        <v>370</v>
      </c>
      <c r="D436" s="41"/>
      <c r="E436" s="40" t="s">
        <v>13</v>
      </c>
      <c r="F436" s="42">
        <v>3</v>
      </c>
      <c r="G436" s="5">
        <v>3</v>
      </c>
      <c r="I436" s="52">
        <v>3</v>
      </c>
      <c r="K436" s="14">
        <f t="shared" si="21"/>
        <v>3</v>
      </c>
      <c r="L436" s="15">
        <f t="shared" si="22"/>
        <v>0</v>
      </c>
      <c r="M436" s="16">
        <f t="shared" si="20"/>
        <v>3</v>
      </c>
      <c r="N436" s="55">
        <v>3</v>
      </c>
    </row>
    <row r="437" spans="1:30" x14ac:dyDescent="0.25">
      <c r="A437" s="38">
        <v>485</v>
      </c>
      <c r="B437" s="39" t="s">
        <v>369</v>
      </c>
      <c r="C437" s="40" t="s">
        <v>371</v>
      </c>
      <c r="D437" s="41"/>
      <c r="E437" s="40" t="s">
        <v>13</v>
      </c>
      <c r="F437" s="42">
        <v>11</v>
      </c>
      <c r="G437" s="5">
        <v>11</v>
      </c>
      <c r="I437" s="52">
        <v>11</v>
      </c>
      <c r="J437" s="1">
        <v>1</v>
      </c>
      <c r="K437" s="14">
        <f t="shared" si="21"/>
        <v>12</v>
      </c>
      <c r="L437" s="15">
        <f t="shared" si="22"/>
        <v>0</v>
      </c>
      <c r="M437" s="16">
        <f t="shared" si="20"/>
        <v>12</v>
      </c>
      <c r="N437" s="55">
        <v>11</v>
      </c>
      <c r="Z437" s="55">
        <v>1</v>
      </c>
    </row>
    <row r="438" spans="1:30" x14ac:dyDescent="0.25">
      <c r="A438" s="38">
        <v>486</v>
      </c>
      <c r="B438" s="39" t="s">
        <v>369</v>
      </c>
      <c r="C438" s="40" t="s">
        <v>372</v>
      </c>
      <c r="D438" s="41"/>
      <c r="E438" s="40" t="s">
        <v>13</v>
      </c>
      <c r="F438" s="42">
        <v>2</v>
      </c>
      <c r="G438" s="5">
        <v>2</v>
      </c>
      <c r="I438" s="52">
        <v>2</v>
      </c>
      <c r="K438" s="14">
        <f t="shared" si="21"/>
        <v>2</v>
      </c>
      <c r="L438" s="15">
        <f t="shared" si="22"/>
        <v>0</v>
      </c>
      <c r="M438" s="16">
        <f t="shared" si="20"/>
        <v>2</v>
      </c>
      <c r="R438" s="55">
        <v>2</v>
      </c>
    </row>
    <row r="439" spans="1:30" x14ac:dyDescent="0.25">
      <c r="A439" s="38">
        <v>487</v>
      </c>
      <c r="B439" s="39" t="s">
        <v>369</v>
      </c>
      <c r="C439" s="40" t="s">
        <v>368</v>
      </c>
      <c r="D439" s="41"/>
      <c r="E439" s="40" t="s">
        <v>13</v>
      </c>
      <c r="F439" s="42">
        <v>4</v>
      </c>
      <c r="G439" s="5">
        <v>4</v>
      </c>
      <c r="I439" s="52">
        <v>4</v>
      </c>
      <c r="K439" s="14">
        <f t="shared" si="21"/>
        <v>4</v>
      </c>
      <c r="L439" s="15">
        <f t="shared" si="22"/>
        <v>0</v>
      </c>
      <c r="M439" s="16">
        <f t="shared" si="20"/>
        <v>4</v>
      </c>
      <c r="AC439" s="55">
        <v>4</v>
      </c>
    </row>
    <row r="440" spans="1:30" x14ac:dyDescent="0.25">
      <c r="A440" s="38">
        <v>488</v>
      </c>
      <c r="B440" s="39" t="s">
        <v>369</v>
      </c>
      <c r="C440" s="40" t="s">
        <v>360</v>
      </c>
      <c r="D440" s="41"/>
      <c r="E440" s="40" t="s">
        <v>13</v>
      </c>
      <c r="F440" s="42">
        <v>40</v>
      </c>
      <c r="G440" s="5">
        <v>40</v>
      </c>
      <c r="I440" s="52">
        <v>40</v>
      </c>
      <c r="J440" s="1">
        <v>4</v>
      </c>
      <c r="K440" s="14">
        <f t="shared" si="21"/>
        <v>44</v>
      </c>
      <c r="L440" s="15">
        <f t="shared" si="22"/>
        <v>0</v>
      </c>
      <c r="M440" s="16">
        <f t="shared" si="20"/>
        <v>44</v>
      </c>
      <c r="Q440" s="55">
        <v>40</v>
      </c>
      <c r="Z440" s="55">
        <v>4</v>
      </c>
    </row>
    <row r="441" spans="1:30" x14ac:dyDescent="0.25">
      <c r="A441" s="38">
        <v>489</v>
      </c>
      <c r="B441" s="39" t="s">
        <v>369</v>
      </c>
      <c r="C441" s="40" t="s">
        <v>373</v>
      </c>
      <c r="D441" s="41"/>
      <c r="E441" s="40" t="s">
        <v>13</v>
      </c>
      <c r="F441" s="42">
        <v>3</v>
      </c>
      <c r="G441" s="5">
        <v>3</v>
      </c>
      <c r="I441" s="52">
        <v>3</v>
      </c>
      <c r="K441" s="14">
        <f t="shared" si="21"/>
        <v>3</v>
      </c>
      <c r="L441" s="15">
        <f t="shared" si="22"/>
        <v>0</v>
      </c>
      <c r="M441" s="16">
        <f t="shared" si="20"/>
        <v>3</v>
      </c>
      <c r="AC441" s="55">
        <v>3</v>
      </c>
    </row>
    <row r="442" spans="1:30" x14ac:dyDescent="0.25">
      <c r="A442" s="38">
        <v>490</v>
      </c>
      <c r="B442" s="39" t="s">
        <v>369</v>
      </c>
      <c r="C442" s="40" t="s">
        <v>361</v>
      </c>
      <c r="D442" s="41"/>
      <c r="E442" s="40" t="s">
        <v>13</v>
      </c>
      <c r="F442" s="42">
        <v>37</v>
      </c>
      <c r="G442" s="5">
        <v>37</v>
      </c>
      <c r="I442" s="52">
        <v>37</v>
      </c>
      <c r="K442" s="14">
        <f t="shared" si="21"/>
        <v>37</v>
      </c>
      <c r="L442" s="15">
        <f t="shared" si="22"/>
        <v>0</v>
      </c>
      <c r="M442" s="16">
        <f t="shared" si="20"/>
        <v>37</v>
      </c>
      <c r="X442" s="55">
        <v>37</v>
      </c>
    </row>
    <row r="443" spans="1:30" x14ac:dyDescent="0.25">
      <c r="A443" s="38">
        <v>491</v>
      </c>
      <c r="B443" s="39" t="s">
        <v>369</v>
      </c>
      <c r="C443" s="40" t="s">
        <v>362</v>
      </c>
      <c r="D443" s="41"/>
      <c r="E443" s="40" t="s">
        <v>13</v>
      </c>
      <c r="F443" s="42">
        <v>38</v>
      </c>
      <c r="G443" s="5">
        <v>38</v>
      </c>
      <c r="I443" s="52">
        <v>38</v>
      </c>
      <c r="J443" s="1">
        <v>1</v>
      </c>
      <c r="K443" s="14">
        <f t="shared" si="21"/>
        <v>39</v>
      </c>
      <c r="L443" s="15">
        <f t="shared" si="22"/>
        <v>0</v>
      </c>
      <c r="M443" s="16">
        <f t="shared" si="20"/>
        <v>39</v>
      </c>
      <c r="N443" s="55">
        <v>38</v>
      </c>
      <c r="Z443" s="55">
        <v>1</v>
      </c>
    </row>
    <row r="444" spans="1:30" x14ac:dyDescent="0.25">
      <c r="A444" s="38">
        <v>492</v>
      </c>
      <c r="B444" s="39" t="s">
        <v>369</v>
      </c>
      <c r="C444" s="40" t="s">
        <v>363</v>
      </c>
      <c r="D444" s="41"/>
      <c r="E444" s="40" t="s">
        <v>13</v>
      </c>
      <c r="F444" s="42">
        <v>21</v>
      </c>
      <c r="G444" s="5">
        <v>21</v>
      </c>
      <c r="I444" s="52">
        <v>21</v>
      </c>
      <c r="K444" s="14">
        <f t="shared" si="21"/>
        <v>21</v>
      </c>
      <c r="L444" s="15">
        <f t="shared" si="22"/>
        <v>0</v>
      </c>
      <c r="M444" s="16">
        <f t="shared" si="20"/>
        <v>21</v>
      </c>
      <c r="N444" s="55">
        <v>16</v>
      </c>
      <c r="R444" s="55">
        <v>5</v>
      </c>
    </row>
    <row r="445" spans="1:30" x14ac:dyDescent="0.25">
      <c r="A445" s="38">
        <v>493</v>
      </c>
      <c r="B445" s="39" t="s">
        <v>369</v>
      </c>
      <c r="C445" s="40" t="s">
        <v>367</v>
      </c>
      <c r="D445" s="41"/>
      <c r="E445" s="40" t="s">
        <v>13</v>
      </c>
      <c r="F445" s="42">
        <v>17</v>
      </c>
      <c r="G445" s="5">
        <v>17</v>
      </c>
      <c r="I445" s="52">
        <v>17</v>
      </c>
      <c r="K445" s="14">
        <f t="shared" si="21"/>
        <v>17</v>
      </c>
      <c r="L445" s="15">
        <f t="shared" si="22"/>
        <v>0</v>
      </c>
      <c r="M445" s="16">
        <f t="shared" si="20"/>
        <v>17</v>
      </c>
      <c r="N445" s="55">
        <v>10</v>
      </c>
      <c r="R445" s="55">
        <v>7</v>
      </c>
    </row>
    <row r="446" spans="1:30" x14ac:dyDescent="0.25">
      <c r="A446" s="38">
        <v>494</v>
      </c>
      <c r="B446" s="39" t="s">
        <v>374</v>
      </c>
      <c r="C446" s="40" t="s">
        <v>366</v>
      </c>
      <c r="D446" s="41"/>
      <c r="E446" s="40" t="s">
        <v>13</v>
      </c>
      <c r="F446" s="42">
        <v>23</v>
      </c>
      <c r="G446" s="5">
        <v>23</v>
      </c>
      <c r="I446" s="52">
        <v>23</v>
      </c>
      <c r="K446" s="14">
        <f t="shared" si="21"/>
        <v>23</v>
      </c>
      <c r="L446" s="15">
        <f t="shared" si="22"/>
        <v>0</v>
      </c>
      <c r="M446" s="16">
        <f t="shared" si="20"/>
        <v>23</v>
      </c>
      <c r="P446" s="55">
        <v>22</v>
      </c>
      <c r="R446" s="55">
        <v>1</v>
      </c>
    </row>
    <row r="447" spans="1:30" x14ac:dyDescent="0.25">
      <c r="A447" s="38">
        <v>495</v>
      </c>
      <c r="B447" s="39" t="s">
        <v>374</v>
      </c>
      <c r="C447" s="40" t="s">
        <v>370</v>
      </c>
      <c r="D447" s="41"/>
      <c r="E447" s="40" t="s">
        <v>13</v>
      </c>
      <c r="F447" s="42">
        <v>2</v>
      </c>
      <c r="G447" s="5">
        <v>2</v>
      </c>
      <c r="I447" s="52">
        <v>2</v>
      </c>
      <c r="K447" s="14">
        <f t="shared" si="21"/>
        <v>2</v>
      </c>
      <c r="L447" s="15">
        <f t="shared" si="22"/>
        <v>0</v>
      </c>
      <c r="M447" s="16">
        <f t="shared" si="20"/>
        <v>2</v>
      </c>
      <c r="P447" s="55">
        <v>1</v>
      </c>
      <c r="Q447" s="55">
        <v>1</v>
      </c>
    </row>
    <row r="448" spans="1:30" x14ac:dyDescent="0.25">
      <c r="A448" s="38">
        <v>496</v>
      </c>
      <c r="B448" s="39" t="s">
        <v>374</v>
      </c>
      <c r="C448" s="40" t="s">
        <v>371</v>
      </c>
      <c r="D448" s="41"/>
      <c r="E448" s="40" t="s">
        <v>13</v>
      </c>
      <c r="F448" s="42">
        <v>1</v>
      </c>
      <c r="G448" s="5">
        <v>1</v>
      </c>
      <c r="I448" s="52">
        <v>1</v>
      </c>
      <c r="K448" s="14">
        <f t="shared" si="21"/>
        <v>1</v>
      </c>
      <c r="L448" s="15">
        <f t="shared" si="22"/>
        <v>0</v>
      </c>
      <c r="M448" s="16">
        <f t="shared" si="20"/>
        <v>1</v>
      </c>
      <c r="P448" s="55">
        <v>1</v>
      </c>
    </row>
    <row r="449" spans="1:24" x14ac:dyDescent="0.25">
      <c r="A449" s="38">
        <v>497</v>
      </c>
      <c r="B449" s="39" t="s">
        <v>374</v>
      </c>
      <c r="C449" s="40" t="s">
        <v>360</v>
      </c>
      <c r="D449" s="41"/>
      <c r="E449" s="40" t="s">
        <v>13</v>
      </c>
      <c r="F449" s="42">
        <v>7</v>
      </c>
      <c r="G449" s="5">
        <v>7</v>
      </c>
      <c r="I449" s="52">
        <v>7</v>
      </c>
      <c r="K449" s="14">
        <f t="shared" si="21"/>
        <v>7</v>
      </c>
      <c r="L449" s="15">
        <f t="shared" si="22"/>
        <v>0</v>
      </c>
      <c r="M449" s="16">
        <f t="shared" si="20"/>
        <v>7</v>
      </c>
      <c r="Q449" s="55">
        <v>7</v>
      </c>
    </row>
    <row r="450" spans="1:24" x14ac:dyDescent="0.25">
      <c r="A450" s="38">
        <v>498</v>
      </c>
      <c r="B450" s="39" t="s">
        <v>375</v>
      </c>
      <c r="C450" s="40" t="s">
        <v>366</v>
      </c>
      <c r="D450" s="41"/>
      <c r="E450" s="40" t="s">
        <v>13</v>
      </c>
      <c r="F450" s="42">
        <v>5</v>
      </c>
      <c r="G450" s="5">
        <v>5</v>
      </c>
      <c r="I450" s="52">
        <v>5</v>
      </c>
      <c r="K450" s="14">
        <f t="shared" si="21"/>
        <v>5</v>
      </c>
      <c r="L450" s="15">
        <f t="shared" si="22"/>
        <v>0</v>
      </c>
      <c r="M450" s="16">
        <f t="shared" si="20"/>
        <v>5</v>
      </c>
      <c r="O450" s="55">
        <v>5</v>
      </c>
    </row>
    <row r="451" spans="1:24" x14ac:dyDescent="0.25">
      <c r="A451" s="38">
        <v>499</v>
      </c>
      <c r="B451" s="39" t="s">
        <v>375</v>
      </c>
      <c r="C451" s="40" t="s">
        <v>370</v>
      </c>
      <c r="D451" s="41"/>
      <c r="E451" s="40" t="s">
        <v>13</v>
      </c>
      <c r="F451" s="42">
        <v>1</v>
      </c>
      <c r="G451" s="5">
        <v>1</v>
      </c>
      <c r="I451" s="52">
        <v>1</v>
      </c>
      <c r="K451" s="14">
        <f t="shared" si="21"/>
        <v>1</v>
      </c>
      <c r="L451" s="15">
        <f t="shared" si="22"/>
        <v>0</v>
      </c>
      <c r="M451" s="16">
        <f t="shared" si="20"/>
        <v>1</v>
      </c>
      <c r="O451" s="55">
        <v>1</v>
      </c>
    </row>
    <row r="452" spans="1:24" x14ac:dyDescent="0.25">
      <c r="A452" s="38">
        <v>500</v>
      </c>
      <c r="B452" s="39" t="s">
        <v>375</v>
      </c>
      <c r="C452" s="40" t="s">
        <v>360</v>
      </c>
      <c r="D452" s="41"/>
      <c r="E452" s="40" t="s">
        <v>13</v>
      </c>
      <c r="F452" s="42">
        <v>2</v>
      </c>
      <c r="G452" s="5">
        <v>2</v>
      </c>
      <c r="I452" s="52">
        <v>2</v>
      </c>
      <c r="K452" s="14">
        <f t="shared" si="21"/>
        <v>2</v>
      </c>
      <c r="L452" s="15">
        <f t="shared" si="22"/>
        <v>0</v>
      </c>
      <c r="M452" s="16">
        <f t="shared" si="20"/>
        <v>2</v>
      </c>
      <c r="O452" s="55">
        <v>2</v>
      </c>
    </row>
    <row r="453" spans="1:24" x14ac:dyDescent="0.25">
      <c r="A453" s="38">
        <v>501</v>
      </c>
      <c r="B453" s="39" t="s">
        <v>375</v>
      </c>
      <c r="C453" s="40" t="s">
        <v>361</v>
      </c>
      <c r="D453" s="41"/>
      <c r="E453" s="40" t="s">
        <v>13</v>
      </c>
      <c r="F453" s="42">
        <v>1</v>
      </c>
      <c r="G453" s="5">
        <v>1</v>
      </c>
      <c r="I453" s="52">
        <v>1</v>
      </c>
      <c r="K453" s="14">
        <f t="shared" si="21"/>
        <v>1</v>
      </c>
      <c r="L453" s="15">
        <f t="shared" si="22"/>
        <v>0</v>
      </c>
      <c r="M453" s="16">
        <f t="shared" ref="M453" si="23">SUM(N453:EA453)</f>
        <v>1</v>
      </c>
      <c r="O453" s="55">
        <v>1</v>
      </c>
    </row>
    <row r="454" spans="1:24" x14ac:dyDescent="0.25">
      <c r="A454" s="38">
        <v>502</v>
      </c>
      <c r="B454" s="39" t="s">
        <v>375</v>
      </c>
      <c r="C454" s="40" t="s">
        <v>362</v>
      </c>
      <c r="D454" s="41"/>
      <c r="E454" s="40" t="s">
        <v>13</v>
      </c>
      <c r="F454" s="42">
        <v>1</v>
      </c>
      <c r="G454" s="5">
        <v>1</v>
      </c>
      <c r="I454" s="52">
        <v>1</v>
      </c>
      <c r="K454" s="14">
        <f t="shared" ref="K454:K458" si="24">SUM(I454:J454)</f>
        <v>1</v>
      </c>
      <c r="L454" s="15">
        <f t="shared" ref="L454:L458" si="25">+M454-K454</f>
        <v>0</v>
      </c>
      <c r="M454" s="16">
        <f t="shared" ref="M454:M458" si="26">SUM(N454:EA454)</f>
        <v>1</v>
      </c>
      <c r="O454" s="55">
        <v>1</v>
      </c>
    </row>
    <row r="455" spans="1:24" x14ac:dyDescent="0.25">
      <c r="A455" s="38">
        <v>503</v>
      </c>
      <c r="B455" s="39" t="s">
        <v>375</v>
      </c>
      <c r="C455" s="40" t="s">
        <v>363</v>
      </c>
      <c r="D455" s="41"/>
      <c r="E455" s="40" t="s">
        <v>13</v>
      </c>
      <c r="F455" s="42">
        <v>2</v>
      </c>
      <c r="G455" s="5">
        <v>2</v>
      </c>
      <c r="I455" s="52">
        <v>2</v>
      </c>
      <c r="K455" s="14">
        <f t="shared" si="24"/>
        <v>2</v>
      </c>
      <c r="L455" s="15">
        <f t="shared" si="25"/>
        <v>0</v>
      </c>
      <c r="M455" s="16">
        <f t="shared" si="26"/>
        <v>2</v>
      </c>
      <c r="O455" s="55">
        <v>2</v>
      </c>
    </row>
    <row r="456" spans="1:24" x14ac:dyDescent="0.25">
      <c r="A456" s="38">
        <v>504</v>
      </c>
      <c r="B456" s="39" t="s">
        <v>376</v>
      </c>
      <c r="C456" s="40" t="s">
        <v>377</v>
      </c>
      <c r="D456" s="41"/>
      <c r="E456" s="40" t="s">
        <v>15</v>
      </c>
      <c r="F456" s="42">
        <v>1</v>
      </c>
      <c r="G456" s="5">
        <v>1</v>
      </c>
      <c r="I456" s="52">
        <v>1</v>
      </c>
      <c r="K456" s="14">
        <f t="shared" si="24"/>
        <v>1</v>
      </c>
      <c r="L456" s="15">
        <f t="shared" si="25"/>
        <v>0</v>
      </c>
      <c r="M456" s="16">
        <f t="shared" si="26"/>
        <v>1</v>
      </c>
      <c r="X456" s="55">
        <v>1</v>
      </c>
    </row>
    <row r="457" spans="1:24" x14ac:dyDescent="0.25">
      <c r="A457" s="38">
        <v>505</v>
      </c>
      <c r="B457" s="39" t="s">
        <v>378</v>
      </c>
      <c r="C457" s="40" t="s">
        <v>379</v>
      </c>
      <c r="D457" s="41"/>
      <c r="E457" s="40" t="s">
        <v>15</v>
      </c>
      <c r="F457" s="42">
        <v>5</v>
      </c>
      <c r="G457" s="5">
        <v>5</v>
      </c>
      <c r="I457" s="52">
        <v>5</v>
      </c>
      <c r="K457" s="14">
        <f t="shared" si="24"/>
        <v>5</v>
      </c>
      <c r="L457" s="15">
        <f t="shared" si="25"/>
        <v>0</v>
      </c>
      <c r="M457" s="16">
        <f t="shared" si="26"/>
        <v>5</v>
      </c>
      <c r="X457" s="55">
        <v>5</v>
      </c>
    </row>
    <row r="458" spans="1:24" x14ac:dyDescent="0.25">
      <c r="A458" s="38">
        <v>506</v>
      </c>
      <c r="B458" s="39" t="s">
        <v>378</v>
      </c>
      <c r="C458" s="40" t="s">
        <v>380</v>
      </c>
      <c r="D458" s="41"/>
      <c r="E458" s="40" t="s">
        <v>15</v>
      </c>
      <c r="F458" s="42">
        <v>1</v>
      </c>
      <c r="G458" s="5">
        <v>1</v>
      </c>
      <c r="I458" s="52">
        <v>1</v>
      </c>
      <c r="K458" s="14">
        <f t="shared" si="24"/>
        <v>1</v>
      </c>
      <c r="L458" s="15">
        <f t="shared" si="25"/>
        <v>0</v>
      </c>
      <c r="M458" s="16">
        <f t="shared" si="26"/>
        <v>1</v>
      </c>
      <c r="X458" s="55">
        <v>1</v>
      </c>
    </row>
    <row r="459" spans="1:24" x14ac:dyDescent="0.25">
      <c r="A459" s="38"/>
      <c r="B459" s="39"/>
      <c r="C459" s="40"/>
      <c r="D459" s="41"/>
      <c r="E459" s="40"/>
      <c r="F459" s="42"/>
    </row>
    <row r="460" spans="1:24" x14ac:dyDescent="0.25">
      <c r="A460" s="43"/>
      <c r="B460" s="44"/>
      <c r="C460" s="45"/>
      <c r="D460" s="46"/>
      <c r="E460" s="45"/>
      <c r="F460" s="47"/>
    </row>
  </sheetData>
  <autoFilter ref="A3:WTF458" xr:uid="{00000000-0001-0000-0000-000000000000}"/>
  <dataConsolidate/>
  <mergeCells count="2">
    <mergeCell ref="A2:C2"/>
    <mergeCell ref="F2:K2"/>
  </mergeCells>
  <phoneticPr fontId="4" type="noConversion"/>
  <conditionalFormatting sqref="L3:L458">
    <cfRule type="cellIs" dxfId="0" priority="1" operator="lessThan">
      <formula>0</formula>
    </cfRule>
  </conditionalFormatting>
  <printOptions horizontalCentered="1"/>
  <pageMargins left="0.47244094488188981" right="0.31496062992125984" top="0.39370078740157483" bottom="0.42" header="0.43307086614173229" footer="0.17"/>
  <pageSetup paperSize="8" scale="90" fitToHeight="0" orientation="landscape" r:id="rId1"/>
  <headerFooter alignWithMargins="0">
    <oddFooter>&amp;C第 &amp;P 頁，共 &amp;N 頁&amp;RR-7-03-02A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FITTING</vt:lpstr>
      <vt:lpstr>FITTING!Print_Area</vt:lpstr>
      <vt:lpstr>FITTING!Print_Titles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藍 上士</cp:lastModifiedBy>
  <cp:lastPrinted>2025-05-26T03:41:30Z</cp:lastPrinted>
  <dcterms:created xsi:type="dcterms:W3CDTF">2013-07-05T02:12:06Z</dcterms:created>
  <dcterms:modified xsi:type="dcterms:W3CDTF">2025-11-20T09:26:53Z</dcterms:modified>
</cp:coreProperties>
</file>