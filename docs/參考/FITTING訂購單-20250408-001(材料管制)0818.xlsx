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50\廣立興\GL-05 可寧衛\02.工程材料\"/>
    </mc:Choice>
  </mc:AlternateContent>
  <xr:revisionPtr revIDLastSave="0" documentId="13_ncr:1_{A49E53FA-DE9F-4C52-868E-8CD1C966A8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TTING" sheetId="4" r:id="rId1"/>
  </sheets>
  <definedNames>
    <definedName name="_xlnm._FilterDatabase" localSheetId="0" hidden="1">FITTING!$A$3:$WUG$312</definedName>
    <definedName name="_xlnm.Print_Area" localSheetId="0">FITTING!$A$1:$R$312</definedName>
    <definedName name="_xlnm.Print_Titles" localSheetId="0">FITTING!$3:$3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1" i="4" l="1"/>
  <c r="P311" i="4"/>
  <c r="R310" i="4"/>
  <c r="P310" i="4"/>
  <c r="R309" i="4"/>
  <c r="P309" i="4"/>
  <c r="R308" i="4"/>
  <c r="P308" i="4"/>
  <c r="R305" i="4"/>
  <c r="R306" i="4"/>
  <c r="R307" i="4"/>
  <c r="R312" i="4"/>
  <c r="P307" i="4"/>
  <c r="P306" i="4"/>
  <c r="J81" i="4"/>
  <c r="P312" i="4"/>
  <c r="P305" i="4"/>
  <c r="H55" i="4"/>
  <c r="G55" i="4"/>
  <c r="H27" i="4"/>
  <c r="G27" i="4"/>
  <c r="H26" i="4"/>
  <c r="G26" i="4"/>
  <c r="G25" i="4"/>
  <c r="Q308" i="4" l="1"/>
  <c r="Q309" i="4"/>
  <c r="Q311" i="4"/>
  <c r="Q310" i="4"/>
  <c r="Q306" i="4"/>
  <c r="Q307" i="4"/>
  <c r="Q305" i="4"/>
  <c r="Q312" i="4"/>
  <c r="R304" i="4"/>
  <c r="P304" i="4"/>
  <c r="R303" i="4"/>
  <c r="P303" i="4"/>
  <c r="R302" i="4"/>
  <c r="P302" i="4"/>
  <c r="R301" i="4"/>
  <c r="P301" i="4"/>
  <c r="R300" i="4"/>
  <c r="P300" i="4"/>
  <c r="R299" i="4"/>
  <c r="P299" i="4"/>
  <c r="R298" i="4"/>
  <c r="P298" i="4"/>
  <c r="R297" i="4"/>
  <c r="P297" i="4"/>
  <c r="R296" i="4"/>
  <c r="P296" i="4"/>
  <c r="R295" i="4"/>
  <c r="P295" i="4"/>
  <c r="R294" i="4"/>
  <c r="P294" i="4"/>
  <c r="R293" i="4"/>
  <c r="P293" i="4"/>
  <c r="R292" i="4"/>
  <c r="P292" i="4"/>
  <c r="R291" i="4"/>
  <c r="P291" i="4"/>
  <c r="R290" i="4"/>
  <c r="P290" i="4"/>
  <c r="R289" i="4"/>
  <c r="P289" i="4"/>
  <c r="R288" i="4"/>
  <c r="P288" i="4"/>
  <c r="R287" i="4"/>
  <c r="P287" i="4"/>
  <c r="R286" i="4"/>
  <c r="P286" i="4"/>
  <c r="R285" i="4"/>
  <c r="P285" i="4"/>
  <c r="R284" i="4"/>
  <c r="P284" i="4"/>
  <c r="R283" i="4"/>
  <c r="P283" i="4"/>
  <c r="R282" i="4"/>
  <c r="P282" i="4"/>
  <c r="R281" i="4"/>
  <c r="P281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P27" i="4"/>
  <c r="P4" i="4"/>
  <c r="P208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Q296" i="4" l="1"/>
  <c r="Q291" i="4"/>
  <c r="Q287" i="4"/>
  <c r="Q303" i="4"/>
  <c r="Q281" i="4"/>
  <c r="Q289" i="4"/>
  <c r="Q292" i="4"/>
  <c r="Q300" i="4"/>
  <c r="Q290" i="4"/>
  <c r="Q298" i="4"/>
  <c r="Q267" i="4"/>
  <c r="Q286" i="4"/>
  <c r="Q302" i="4"/>
  <c r="Q24" i="4"/>
  <c r="Q23" i="4"/>
  <c r="Q245" i="4"/>
  <c r="Q297" i="4"/>
  <c r="Q301" i="4"/>
  <c r="Q288" i="4"/>
  <c r="Q299" i="4"/>
  <c r="Q293" i="4"/>
  <c r="Q283" i="4"/>
  <c r="Q223" i="4"/>
  <c r="Q284" i="4"/>
  <c r="Q294" i="4"/>
  <c r="Q304" i="4"/>
  <c r="Q285" i="4"/>
  <c r="Q295" i="4"/>
  <c r="Q282" i="4"/>
  <c r="Q244" i="4"/>
  <c r="Q45" i="4"/>
  <c r="Q22" i="4"/>
  <c r="Q67" i="4"/>
  <c r="Q170" i="4"/>
  <c r="Q82" i="4"/>
  <c r="Q266" i="4"/>
  <c r="Q44" i="4"/>
  <c r="Q25" i="4"/>
  <c r="Q211" i="4"/>
  <c r="Q252" i="4"/>
  <c r="Q212" i="4"/>
  <c r="Q253" i="4"/>
  <c r="Q147" i="4"/>
  <c r="Q81" i="4"/>
  <c r="Q190" i="4"/>
  <c r="Q102" i="4"/>
  <c r="Q36" i="4"/>
  <c r="Q189" i="4"/>
  <c r="Q188" i="4"/>
  <c r="Q144" i="4"/>
  <c r="Q78" i="4"/>
  <c r="Q209" i="4"/>
  <c r="Q186" i="4"/>
  <c r="Q142" i="4"/>
  <c r="Q120" i="4"/>
  <c r="Q251" i="4"/>
  <c r="Q185" i="4"/>
  <c r="Q141" i="4"/>
  <c r="Q250" i="4"/>
  <c r="Q184" i="4"/>
  <c r="Q140" i="4"/>
  <c r="Q191" i="4"/>
  <c r="Q103" i="4"/>
  <c r="Q37" i="4"/>
  <c r="Q146" i="4"/>
  <c r="Q80" i="4"/>
  <c r="Q145" i="4"/>
  <c r="Q79" i="4"/>
  <c r="Q232" i="4"/>
  <c r="Q271" i="4"/>
  <c r="Q249" i="4"/>
  <c r="Q227" i="4"/>
  <c r="Q205" i="4"/>
  <c r="Q183" i="4"/>
  <c r="Q161" i="4"/>
  <c r="Q139" i="4"/>
  <c r="Q51" i="4"/>
  <c r="Q270" i="4"/>
  <c r="Q248" i="4"/>
  <c r="Q226" i="4"/>
  <c r="Q204" i="4"/>
  <c r="Q182" i="4"/>
  <c r="Q160" i="4"/>
  <c r="Q138" i="4"/>
  <c r="Q94" i="4"/>
  <c r="Q72" i="4"/>
  <c r="Q50" i="4"/>
  <c r="Q269" i="4"/>
  <c r="Q247" i="4"/>
  <c r="Q225" i="4"/>
  <c r="Q203" i="4"/>
  <c r="Q268" i="4"/>
  <c r="Q246" i="4"/>
  <c r="Q224" i="4"/>
  <c r="Q202" i="4"/>
  <c r="Q4" i="4"/>
  <c r="Q194" i="4"/>
  <c r="Q108" i="4"/>
  <c r="Q149" i="4"/>
  <c r="Q85" i="4"/>
  <c r="Q43" i="4"/>
  <c r="Q127" i="4"/>
  <c r="Q63" i="4"/>
  <c r="Q83" i="4"/>
  <c r="Q19" i="4"/>
  <c r="Q168" i="4"/>
  <c r="Q61" i="4"/>
  <c r="Q231" i="4"/>
  <c r="Q17" i="4"/>
  <c r="Q230" i="4"/>
  <c r="Q208" i="4"/>
  <c r="Q166" i="4"/>
  <c r="Q123" i="4"/>
  <c r="Q16" i="4"/>
  <c r="Q207" i="4"/>
  <c r="Q122" i="4"/>
  <c r="Q58" i="4"/>
  <c r="Q206" i="4"/>
  <c r="Q143" i="4"/>
  <c r="Q57" i="4"/>
  <c r="Q99" i="4"/>
  <c r="Q66" i="4"/>
  <c r="Q129" i="4"/>
  <c r="Q65" i="4"/>
  <c r="Q107" i="4"/>
  <c r="Q64" i="4"/>
  <c r="Q42" i="4"/>
  <c r="Q274" i="4"/>
  <c r="Q169" i="4"/>
  <c r="Q105" i="4"/>
  <c r="Q62" i="4"/>
  <c r="Q104" i="4"/>
  <c r="Q18" i="4"/>
  <c r="Q272" i="4"/>
  <c r="Q187" i="4"/>
  <c r="Q124" i="4"/>
  <c r="Q39" i="4"/>
  <c r="Q59" i="4"/>
  <c r="Q121" i="4"/>
  <c r="Q264" i="4"/>
  <c r="Q70" i="4"/>
  <c r="Q132" i="4"/>
  <c r="Q87" i="4"/>
  <c r="Q86" i="4"/>
  <c r="Q128" i="4"/>
  <c r="Q21" i="4"/>
  <c r="Q148" i="4"/>
  <c r="Q106" i="4"/>
  <c r="Q84" i="4"/>
  <c r="Q20" i="4"/>
  <c r="Q126" i="4"/>
  <c r="Q41" i="4"/>
  <c r="Q273" i="4"/>
  <c r="Q210" i="4"/>
  <c r="Q125" i="4"/>
  <c r="Q40" i="4"/>
  <c r="Q167" i="4"/>
  <c r="Q60" i="4"/>
  <c r="Q38" i="4"/>
  <c r="Q229" i="4"/>
  <c r="Q165" i="4"/>
  <c r="Q101" i="4"/>
  <c r="Q15" i="4"/>
  <c r="Q228" i="4"/>
  <c r="Q164" i="4"/>
  <c r="Q100" i="4"/>
  <c r="Q163" i="4"/>
  <c r="Q162" i="4"/>
  <c r="Q98" i="4"/>
  <c r="Q32" i="4"/>
  <c r="Q265" i="4"/>
  <c r="Q220" i="4"/>
  <c r="Q243" i="4"/>
  <c r="Q222" i="4"/>
  <c r="Q201" i="4"/>
  <c r="Q181" i="4"/>
  <c r="Q119" i="4"/>
  <c r="Q97" i="4"/>
  <c r="Q77" i="4"/>
  <c r="Q56" i="4"/>
  <c r="Q35" i="4"/>
  <c r="Q14" i="4"/>
  <c r="Q263" i="4"/>
  <c r="Q242" i="4"/>
  <c r="Q221" i="4"/>
  <c r="Q200" i="4"/>
  <c r="Q180" i="4"/>
  <c r="Q159" i="4"/>
  <c r="Q118" i="4"/>
  <c r="Q96" i="4"/>
  <c r="Q76" i="4"/>
  <c r="Q55" i="4"/>
  <c r="Q34" i="4"/>
  <c r="Q13" i="4"/>
  <c r="Q262" i="4"/>
  <c r="Q241" i="4"/>
  <c r="Q199" i="4"/>
  <c r="Q179" i="4"/>
  <c r="Q158" i="4"/>
  <c r="Q137" i="4"/>
  <c r="Q117" i="4"/>
  <c r="Q95" i="4"/>
  <c r="Q75" i="4"/>
  <c r="Q54" i="4"/>
  <c r="Q33" i="4"/>
  <c r="Q12" i="4"/>
  <c r="Q261" i="4"/>
  <c r="Q240" i="4"/>
  <c r="Q198" i="4"/>
  <c r="Q178" i="4"/>
  <c r="Q157" i="4"/>
  <c r="Q136" i="4"/>
  <c r="Q116" i="4"/>
  <c r="Q74" i="4"/>
  <c r="Q53" i="4"/>
  <c r="Q11" i="4"/>
  <c r="Q260" i="4"/>
  <c r="Q239" i="4"/>
  <c r="Q219" i="4"/>
  <c r="Q197" i="4"/>
  <c r="Q177" i="4"/>
  <c r="Q156" i="4"/>
  <c r="Q135" i="4"/>
  <c r="Q115" i="4"/>
  <c r="Q73" i="4"/>
  <c r="Q52" i="4"/>
  <c r="Q10" i="4"/>
  <c r="Q259" i="4"/>
  <c r="Q218" i="4"/>
  <c r="Q176" i="4"/>
  <c r="Q134" i="4"/>
  <c r="Q93" i="4"/>
  <c r="Q9" i="4"/>
  <c r="Q258" i="4"/>
  <c r="Q217" i="4"/>
  <c r="Q175" i="4"/>
  <c r="Q113" i="4"/>
  <c r="Q71" i="4"/>
  <c r="Q30" i="4"/>
  <c r="Q257" i="4"/>
  <c r="Q216" i="4"/>
  <c r="Q174" i="4"/>
  <c r="Q91" i="4"/>
  <c r="Q7" i="4"/>
  <c r="Q277" i="4"/>
  <c r="Q235" i="4"/>
  <c r="Q173" i="4"/>
  <c r="Q6" i="4"/>
  <c r="Q276" i="4"/>
  <c r="Q255" i="4"/>
  <c r="Q234" i="4"/>
  <c r="Q214" i="4"/>
  <c r="Q193" i="4"/>
  <c r="Q172" i="4"/>
  <c r="Q151" i="4"/>
  <c r="Q131" i="4"/>
  <c r="Q110" i="4"/>
  <c r="Q89" i="4"/>
  <c r="Q69" i="4"/>
  <c r="Q47" i="4"/>
  <c r="Q27" i="4"/>
  <c r="Q5" i="4"/>
  <c r="Q280" i="4"/>
  <c r="Q238" i="4"/>
  <c r="Q196" i="4"/>
  <c r="Q155" i="4"/>
  <c r="Q114" i="4"/>
  <c r="Q31" i="4"/>
  <c r="Q279" i="4"/>
  <c r="Q237" i="4"/>
  <c r="Q195" i="4"/>
  <c r="Q154" i="4"/>
  <c r="Q133" i="4"/>
  <c r="Q92" i="4"/>
  <c r="Q8" i="4"/>
  <c r="Q278" i="4"/>
  <c r="Q236" i="4"/>
  <c r="Q153" i="4"/>
  <c r="Q112" i="4"/>
  <c r="Q49" i="4"/>
  <c r="Q29" i="4"/>
  <c r="Q256" i="4"/>
  <c r="Q215" i="4"/>
  <c r="Q152" i="4"/>
  <c r="Q111" i="4"/>
  <c r="Q90" i="4"/>
  <c r="Q48" i="4"/>
  <c r="Q28" i="4"/>
  <c r="Q275" i="4"/>
  <c r="Q254" i="4"/>
  <c r="Q233" i="4"/>
  <c r="Q213" i="4"/>
  <c r="Q192" i="4"/>
  <c r="Q171" i="4"/>
  <c r="Q150" i="4"/>
  <c r="Q130" i="4"/>
  <c r="Q109" i="4"/>
  <c r="Q88" i="4"/>
  <c r="Q68" i="4"/>
  <c r="Q46" i="4"/>
  <c r="Q26" i="4"/>
</calcChain>
</file>

<file path=xl/sharedStrings.xml><?xml version="1.0" encoding="utf-8"?>
<sst xmlns="http://schemas.openxmlformats.org/spreadsheetml/2006/main" count="4370" uniqueCount="425">
  <si>
    <t>項次</t>
  </si>
  <si>
    <t>單位</t>
  </si>
  <si>
    <t>備註</t>
  </si>
  <si>
    <t xml:space="preserve">品  名 </t>
    <phoneticPr fontId="6" type="noConversion"/>
  </si>
  <si>
    <t>規格型號</t>
  </si>
  <si>
    <t>材   質</t>
  </si>
  <si>
    <t>無縫鋼管</t>
  </si>
  <si>
    <t>米</t>
  </si>
  <si>
    <t>PIPE,DN15,SCH80,A106 GR.B,PE,ASME B36.10M,SMLS,A106 GR.B</t>
  </si>
  <si>
    <t>A106 GR.B</t>
  </si>
  <si>
    <t>PIPE,DN20,SCH80,A106 GR.B,PE,ASME B36.10M,SMLS,A106 GR.B</t>
  </si>
  <si>
    <t>PIPE,DN25,SCH80,A106 GR.B,PE,ASME B36.10M,SMLS,A106 GR.B</t>
  </si>
  <si>
    <t>PIPE,DN40,SCH80,A106 GR.B,PE,ASME B36.10M,SMLS,A106 GR.B</t>
  </si>
  <si>
    <t>PIPE,DN50,SCH40,A106 GR.B,BE,ASME B36.10M,SMLS,A106 GR.B</t>
  </si>
  <si>
    <t>PIPE,DN65,SCH40,A106 GR.B,BE,ASME B36.10M,SMLS,A106 GR.B</t>
  </si>
  <si>
    <t>PIPE,DN80,SCH40,A106 GR.B,BE,ASME B36.10M,SMLS,A106 GR.B</t>
  </si>
  <si>
    <t>PIPE,DN100,SCH40,A106 GR.B,BE,ASME B36.10M,SMLS,A106 GR.B</t>
  </si>
  <si>
    <t>PIPE,DN200,SCH40,A106 GR.B,BE,ASME B36.10M,SMLS,A106 GR.B</t>
  </si>
  <si>
    <t>PIPE,DN300,SCH40,A106 GR.B,BE,ASME B36.10M,SMLS,A106 GR.B</t>
  </si>
  <si>
    <t>PIPE,DN15,SCH40S,A312 TP304,PE,ASME B36.19M,SMLS</t>
  </si>
  <si>
    <t>A312 TP304</t>
  </si>
  <si>
    <t>PIPE,DN20,SCH40S,A312 TP304,PE,ASME B36.19M,SMLS</t>
  </si>
  <si>
    <t>PIPE,DN25,SCH40S,A312 TP304,PE,ASME B36.19M,SMLS</t>
  </si>
  <si>
    <t>PIPE,DN32,SCH40S,A312 TP304,PE,ASME B36.19M,SMLS</t>
  </si>
  <si>
    <t>PIPE,DN40,SCH40S,A312 TP304,PE,ASME B36.19M,SMLS</t>
  </si>
  <si>
    <t>PIPE,DN50,SCH10S,A312 TP304,PE,ASME B36.19M,SMLS</t>
  </si>
  <si>
    <t>PIPE,DN65,SCH10S,A312 TP304,PE,ASME B36.19M,SMLS</t>
  </si>
  <si>
    <t>PIPE,DN80,SCH10S,A312 TP304,PE,ASME B36.19M,SMLS</t>
  </si>
  <si>
    <t>PIPE,DN100,SCH10S,A312 TP304,PE,ASME B36.19M,SMLS</t>
  </si>
  <si>
    <t>有縫鋼管</t>
  </si>
  <si>
    <t xml:space="preserve">A358 TP304 </t>
  </si>
  <si>
    <r>
      <t xml:space="preserve">PIPE,DN200,SCH10S,A358 TP304 </t>
    </r>
    <r>
      <rPr>
        <sz val="12"/>
        <color rgb="FFFF0000"/>
        <rFont val="標楷體"/>
        <family val="4"/>
        <charset val="136"/>
      </rPr>
      <t>CL.3</t>
    </r>
    <r>
      <rPr>
        <sz val="12"/>
        <color theme="1"/>
        <rFont val="標楷體"/>
        <family val="4"/>
        <charset val="136"/>
      </rPr>
      <t>,PE,ASME B36.19M,EFW</t>
    </r>
    <phoneticPr fontId="4" type="noConversion"/>
  </si>
  <si>
    <r>
      <t xml:space="preserve">PIPE,DN300,SCH10S,A358 TP304 </t>
    </r>
    <r>
      <rPr>
        <sz val="12"/>
        <color rgb="FFFF0000"/>
        <rFont val="標楷體"/>
        <family val="4"/>
        <charset val="136"/>
      </rPr>
      <t>CL.3</t>
    </r>
    <r>
      <rPr>
        <sz val="12"/>
        <color theme="1"/>
        <rFont val="標楷體"/>
        <family val="4"/>
        <charset val="136"/>
      </rPr>
      <t>,PE,ASME B36.19M,EFW</t>
    </r>
    <phoneticPr fontId="4" type="noConversion"/>
  </si>
  <si>
    <t>90°彎頭</t>
  </si>
  <si>
    <t>90DEG ELBOW,DN15,SCH80,A105,CL3000,SW,ASME B16.11</t>
  </si>
  <si>
    <t>A105</t>
  </si>
  <si>
    <t>個</t>
  </si>
  <si>
    <t>90DEG ELBOW,DN25,SCH80,A105,CL3000,SW,ASME B16.11</t>
  </si>
  <si>
    <t>90DEG ELBOW,DN40,SCH80,A105,CL3000,SW,ASME B16.11</t>
  </si>
  <si>
    <t>90DEG ELBOW(1.5D),DN50,SCH40,A234 WPB,LR,BW,ASME B16.9,SMLS</t>
  </si>
  <si>
    <t>A234 WPB</t>
  </si>
  <si>
    <t>90DEG ELBOW(1.5D),DN65,SCH40,A234 WPB,LR,BW,ASME B16.9,SMLS</t>
  </si>
  <si>
    <t>90DEG ELBOW(1.5D),DN80,SCH40,A234 WPB,LR,BW,ASME B16.9,SMLS</t>
  </si>
  <si>
    <t>90DEG ELBOW(1.5D),DN100,SCH40,A234 WPB,LR,BW,ASME B16.9,SMLS</t>
  </si>
  <si>
    <t>90DEG ELBOW(1.5D),DN200,SCH40,A234 WPB,LR,BW,ASME B16.9,SMLS</t>
  </si>
  <si>
    <t>90DEG ELBOW,DN25,SCH80,A234 WPB,LR,BW,ASME B16.9,SMLS</t>
  </si>
  <si>
    <t>90DEG ELBOW,DN40,SCH80,A234 WPB,LR,BW,ASME B16.9,SMLS</t>
  </si>
  <si>
    <t>90DEG ELBOW(5D),DN50,SCH40,A234 WPB,LR,BW,ASME B16.9,SMLS</t>
  </si>
  <si>
    <t>90DEG ELBOW(5D),DN65,SCH40,A234 WPB,LR,BW,ASME B16.9,SMLS</t>
  </si>
  <si>
    <t>90DEG ELBOW(5D),DN80,SCH40,A234 WPB,LR,BW,ASME B16.9,SMLS</t>
  </si>
  <si>
    <t>90DEG ELBOW(10D),DN50,SCH40,A234 WPB,LR,BW,ASME B16.9,SMLS</t>
  </si>
  <si>
    <t>90DEG ELBOW(10D),DN65,SCH40,A234 WPB,LR,BW,ASME B16.9,SMLS</t>
  </si>
  <si>
    <t>90DEG ELBOW(10D),DN100,SCH40,A234 WPB,LR,BW,ASME B16.9,SMLS</t>
  </si>
  <si>
    <t>90DEG ELBOW,DN15,SCH40S,A182 F304,CL3000,SW,ASME B16.11</t>
  </si>
  <si>
    <t>A182 F304</t>
  </si>
  <si>
    <t>90DEG ELBOW,DN20,SCH40S,A182 F304,CL3000,SW,ASME B16.11</t>
  </si>
  <si>
    <t>90DEG ELBOW,DN25,SCH40S,A182 F304,CL3000,SW,ASME B16.11</t>
  </si>
  <si>
    <t>90DEG ELBOW,DN32,SCH40S,A182 F304,CL3000,SW,ASME B16.11</t>
  </si>
  <si>
    <t>90DEG ELBOW,DN40,SCH40S,A182 F304,CL3000,SW,ASME B16.11</t>
  </si>
  <si>
    <t>90DEG ELBOW,DN50,SCH10S,A403 WP304-S,LR,BW,ASME B16.9,SMLS</t>
  </si>
  <si>
    <t>A403 WP304-S</t>
  </si>
  <si>
    <t>90DEG ELBOW,DN65,SCH10S,A403 WP304-S,LR,BW,ASME B16.9,SMLS</t>
  </si>
  <si>
    <t>90DEG ELBOW,DN80,SCH10S,A403 WP304-S,LR,BW,ASME B16.9,SMLS</t>
  </si>
  <si>
    <t>90DEG ELBOW,DN100,SCH10S,A403 WP304-S,LR,BW,ASME B16.9,SMLS</t>
  </si>
  <si>
    <t>90DEG ELBOW,DN200,SCH10S,A403 WP304-S,LR,BW,ASME B16.9,SMLS</t>
  </si>
  <si>
    <t>45°彎頭</t>
  </si>
  <si>
    <t>45DEG ELBOW,DN15,SCH80,A105,CL3000,SW,ASME B16.11</t>
  </si>
  <si>
    <t>45DEG ELBOW,DN20,SCH80,A105,CL3000,SW,ASME B16.11</t>
  </si>
  <si>
    <t>45DEG ELBOW,DN25,SCH80,A105,CL3000,SW,ASME B16.11</t>
  </si>
  <si>
    <t>45DEG ELBOW,DN40,SCH80,A105,CL3000,SW,ASME B16.11</t>
  </si>
  <si>
    <t>45DEG ELBOW(1.5D),DN50,SCH40,A234 WPB,LR,BW,ASME B16.9,SMLS</t>
  </si>
  <si>
    <t>45DEG ELBOW(1.5D),DN65,SCH40,A234 WPB,LR,BW,ASME B16.9,SMLS</t>
  </si>
  <si>
    <t>45DEG ELBOW(1.5D),DN80,SCH40,A234 WPB,LR,BW,ASME B16.9,SMLS</t>
  </si>
  <si>
    <t>45DEG ELBOW(1.5D),DN100,SCH40,A234 WPB,LR,BW,ASME B16.9,SMLS</t>
  </si>
  <si>
    <t>45DEG ELBOW(1.5D),DN200,SCH40,A234 WPB,LR,BW,ASME B16.9,SMLS</t>
  </si>
  <si>
    <t>45DEG ELBOW(5D),DN50,SCH40,A234 WPB,LR,BW,ASME B16.9,SMLS</t>
  </si>
  <si>
    <t>45DEG ELBOW(10D),DN50,SCH40,A234 WPB,LR,BW,ASME B16.9,SMLS</t>
  </si>
  <si>
    <t>45DEG ELBOW(10D),DN65,SCH40,A234 WPB,LR,BW,ASME B16.9,SMLS</t>
  </si>
  <si>
    <t>45DEG ELBOW(10D),DN80,SCH40,A234 WPB,LR,BW,ASME B16.9,SMLS</t>
  </si>
  <si>
    <t>45DEG ELBOW(10D),DN100,SCH40,A234 WPB,LR,BW,ASME B16.9,SMLS</t>
  </si>
  <si>
    <t>45DEG ELBOW,DN15,SCH40S,A182 F304,CL3000,SW,ASME B16.11</t>
  </si>
  <si>
    <t>45DEG ELBOW,DN25,SCH40S,A182 F304,CL3000,SW,ASME B16.11</t>
  </si>
  <si>
    <t>45DEG ELBOW,DN40,SCH40S,A182 F304,CL3000,SW,ASME B16.11</t>
  </si>
  <si>
    <t>45DEG ELBOW,DN50,SCH10S,A403 WP304-S,LR,BW,ASME B16.9,SMLS</t>
  </si>
  <si>
    <t>45DEG ELBOW,DN65,SCH10S,A403 WP304-S,LR,BW,ASME B16.9,SMLS</t>
  </si>
  <si>
    <t>45DEG ELBOW,DN80,SCH10S,A403 WP304-S,LR,BW,ASME B16.9,SMLS</t>
  </si>
  <si>
    <t>45DEG ELBOW,DN100,SCH10S,A403 WP304-S,LR,BW,ASME B16.9,SMLS</t>
  </si>
  <si>
    <t>FLANGE,DN15,CL150,SW-RF,ASME B16.5</t>
  </si>
  <si>
    <t>片</t>
  </si>
  <si>
    <t>FLANGE,DN20,CL150,SW-RF,ASME B16.5</t>
  </si>
  <si>
    <t>FLANGE,DN25,CL150,SW-RF,ASME B16.5</t>
  </si>
  <si>
    <t>FLANGE,DN40,CL150,SW-RF,ASME B16.5</t>
  </si>
  <si>
    <t>FLANGE,DN50,CL150,SO-RF,ASME B16.5</t>
  </si>
  <si>
    <t>FLANGE,DN65,CL150,SO-RF,ASME B16.5</t>
  </si>
  <si>
    <t>FLANGE,DN80,CL150,SO-RF,ASME B16.5</t>
  </si>
  <si>
    <t>FLANGE,DN100,CL150,SO-RF,ASME B16.5</t>
  </si>
  <si>
    <t>FLANGE,DN200,CL150,SO-RF,ASME B16.5</t>
  </si>
  <si>
    <t>FLANGE,DN300,CL150,SO-RF,ASME B16.5</t>
  </si>
  <si>
    <t>FLANGE,DN15,CL150,SW-RF,ASME B16.5</t>
    <phoneticPr fontId="4" type="noConversion"/>
  </si>
  <si>
    <t>SW法蘭</t>
  </si>
  <si>
    <t>SW法蘭</t>
    <phoneticPr fontId="4" type="noConversion"/>
  </si>
  <si>
    <t>FLANGE,DN50,CL150,SO-RF,ASME B16.5</t>
    <phoneticPr fontId="4" type="noConversion"/>
  </si>
  <si>
    <t>SO法蘭</t>
  </si>
  <si>
    <t>SO法蘭</t>
    <phoneticPr fontId="4" type="noConversion"/>
  </si>
  <si>
    <t>WN法蘭</t>
  </si>
  <si>
    <t>WN法蘭</t>
    <phoneticPr fontId="4" type="noConversion"/>
  </si>
  <si>
    <t>FLANGE,DN32,CL150,SW-RF,ASME B16.5</t>
  </si>
  <si>
    <t>盲法蘭</t>
  </si>
  <si>
    <t>BLIND FLANGE,DN20,CL150,BL-RF,ASME B16.5,A182 F304</t>
  </si>
  <si>
    <t>BLIND FLANGE,DN25,CL150,BL-RF,ASME B16.5,A182 F304</t>
  </si>
  <si>
    <t>BLIND FLANGE,DN50,CL150,BL-RF,ASME B16.5,A182 F304</t>
  </si>
  <si>
    <t>BLIND FLANGE,DN65,CL150,BL-RF,ASME B16.5,A182 F304</t>
  </si>
  <si>
    <t>BLIND FLANGE,DN80,CL150,BL-RF,ASME B16.5,A182 F304</t>
  </si>
  <si>
    <t>BLIND FLANGE,DN15,CL150,BL-RF,ASME B16.5,A105</t>
  </si>
  <si>
    <t>BLIND FLANGE,DN25,CL150,BL-RF,ASME B16.5,A105</t>
  </si>
  <si>
    <t>BLIND FLANGE,DN50,CL150,BL-RF,ASME B16.5,A105</t>
  </si>
  <si>
    <t>BLIND FLANGE,DN80,CL150,BL-RF,ASME B16.5,A105</t>
  </si>
  <si>
    <t>BLIND FLANGE,DN100,CL150,BL-RF,ASME B16.5,A105</t>
  </si>
  <si>
    <t>STAIGHT TEE,DN15,A182 F304,CL3000,SW,ASME B16.11</t>
  </si>
  <si>
    <t>STAIGHT TEE,DN25,A182 F304,CL3000,SW,ASME B16.11</t>
  </si>
  <si>
    <t>STAIGHT TEE,DN40,A182 F304,CL3000,SW,ASME B16.11</t>
  </si>
  <si>
    <t>STAIGHT TEE,DN50,SCH10S,A403 WP304-WX,BW,ASME B16.9,WELD</t>
  </si>
  <si>
    <t>A403 WP304-WX</t>
  </si>
  <si>
    <t>STAIGHT TEE,DN65,SCH10S,A403 WP304-WX,BW,ASME B16.9,WELD</t>
  </si>
  <si>
    <t>同徑三通</t>
    <phoneticPr fontId="4" type="noConversion"/>
  </si>
  <si>
    <t>STAIGHT TEE,DN15,A105,CL3000,SW,ASME B16.11</t>
  </si>
  <si>
    <t>STAIGHT TEE,DN25,A105,CL3000,SW,ASME B16.11</t>
  </si>
  <si>
    <t>STAIGHT TEE,DN40,A105,CL3000,SW,ASME B16.11</t>
  </si>
  <si>
    <t>STAIGHT TEE,DN50,SCH40,A234 WPB,BW,ASME B16.9,SMLS</t>
  </si>
  <si>
    <t>STAIGHT TEE,DN80,SCH40,A234 WPB,BW,ASME B16.9,SMLS</t>
  </si>
  <si>
    <t>STAIGHT TEE,DN100,SCH40,A234 WPB,BW,ASME B16.9,SMLS</t>
  </si>
  <si>
    <t>STAIGHT TEE,DN200,SCH40,A234 WPB,BW,ASME B16.9,SMLS</t>
  </si>
  <si>
    <t>異徑三通</t>
  </si>
  <si>
    <t>REDUCING TEE,DN25X15,SCH80XSCH80,A105,CL3000,SW,ASME B16.11</t>
  </si>
  <si>
    <t>REDUCING TEE,DN40X25,SCH80XSCH80,A105,CL3000,SW,ASME B16.11</t>
  </si>
  <si>
    <t>REDUCING TEE,DN50X25,SCH40XSCH80,A234 WPB,BW,ASME B16.9,SMLS</t>
  </si>
  <si>
    <t>REDUCING TEE,DN50X40,SCH40XSCH80,A234 WPB,BW,ASME B16.9,SMLS</t>
  </si>
  <si>
    <t>REDUCING TEE,DN65X25,SCH40XSCH80,A234 WPB,BW,ASME B16.9,SMLS</t>
  </si>
  <si>
    <t>REDUCING TEE,DN80X50,SCH40XSCH40,A234 WPB,BW,ASME B16.9,SMLS</t>
  </si>
  <si>
    <t>REDUCING TEE,DN100X40,SCH40XSCH80,A234 WPB,BW,ASME B16.9,SMLS</t>
  </si>
  <si>
    <t>REDUCING TEE,DN100X50,SCH40XSCH40,A234 WPB,BW,ASME B16.9,SMLS</t>
  </si>
  <si>
    <t>REDUCING TEE,DN50X25,SCH40xSCH40,A234 WPB,BW,ASME B16.9,SMLS</t>
  </si>
  <si>
    <t>REDUCING TEE,DN80X50,SCH40xSCH40,A234 WPB,BW,ASME B16.9,SMLS</t>
  </si>
  <si>
    <t>REDUCING TEE,DN25X15,SCH40sxSCH40s,A182 F304,CL3000,SW,ASME B16.11</t>
  </si>
  <si>
    <t>REDUCING TEE,DN25X20,SCH40sxSCH40s,A182 F304,CL3000,SW,ASME B16.11</t>
  </si>
  <si>
    <t>REDUCING TEE,DN32X25,SCH40sxSCH40s,A182 F304,CL3000,SW,ASME B16.11</t>
  </si>
  <si>
    <t>REDUCING TEE,DN40X20,SCH40sxSCH40s,A182 F304,CL3000,SW,ASME B16.11</t>
  </si>
  <si>
    <t>REDUCING TEE,DN40X25,SCH40sxSCH40s,A182 F304,CL3000,SW,ASME B16.11</t>
  </si>
  <si>
    <t>REDUCING TEE,DN40X32,SCH40sxSCH40s,A182 F304,CL3000,SW,ASME B16.11</t>
  </si>
  <si>
    <t>REDUCING TEE,DN50X25,SCH10SxSCH40S,A403 WP304-S,BW,ASME B16.9,SMLS</t>
  </si>
  <si>
    <t>REDUCING TEE,DN65X25,SCH10SxSCH40S,A403 WP304-S,BW,ASME B16.9,SMLS</t>
  </si>
  <si>
    <t>REDUCING TEE,DN65X40,SCH10SxSCH40S,A403 WP304-S,BW,ASME B16.9,SMLS</t>
  </si>
  <si>
    <t>REDUCING TEE,DN80X50,SCH10SxSCH10S,A403 WP304-S,BW,ASME B16.9,SMLS</t>
  </si>
  <si>
    <t>REDUCING TEE,DN100X40,SCH10SxSCH40S,A403 WP304-S,BW,ASME B16.9,SMLS</t>
  </si>
  <si>
    <t>REDUCING TEE,DN100X50,SCH10SxSCH10S,A403 WP304-S,BW,ASME B16.9,SMLS</t>
  </si>
  <si>
    <t>REDUCER,CONC.,DN50X25,SCH40XSCH80,A234 WPB,BW,ASME B16.9,SMLS</t>
  </si>
  <si>
    <t>REDUCER,CONC.,DN50X40,SCH40XSCH80,A234 WPB,BW,ASME B16.9,SMLS</t>
  </si>
  <si>
    <t>REDUCER,CONC.,DN80X40,SCH40XSCH80,A234 WPB,BW,ASME B16.9,SMLS</t>
  </si>
  <si>
    <t>REDUCER,CONC.,DN100X80,SCH40XSCH40,A234 WPB,BW,ASME B16.9,SMLS</t>
  </si>
  <si>
    <t>REDUCER,CONC.,DN300X200,SCH40XSCH40,A234 WPB,BW,ASME B16.9,SMLS</t>
  </si>
  <si>
    <t>REDUCER,CONC.,DN25X15,A105,CL3000,SW,ASME B16.11</t>
  </si>
  <si>
    <t>REDUCER,CONC.,DN25X20,A105,CL3000,SW,ASME B16.11</t>
  </si>
  <si>
    <t>REDUCER,CONC.,DN40X25,A105,CL3000,SW,ASME B16.11</t>
  </si>
  <si>
    <t>REDUCER,CONC.,DN25X15,A182 F304,CL3000,SW,ASME B16.11</t>
  </si>
  <si>
    <t>REDUCER,CONC.,DN25X20,A182 F304,CL3000,SW,ASME B16.11</t>
  </si>
  <si>
    <t>REDUCER,CONC.,DN32X25,A182 F304,CL3000,SW,ASME B16.11</t>
  </si>
  <si>
    <t>REDUCER,CONC.,DN40X25,A182 F304,CL3000,SW,ASME B16.11</t>
  </si>
  <si>
    <t>REDUCER,CONC.,DN50X25,SCH10SxSCH40S,A403 WP304-S,BW,ASME B16.9,SMLS</t>
  </si>
  <si>
    <t>REDUCER,CONC.,DN50X32,SCH10SxSCH40S,A403 WP304-S,BW,ASME B16.9,SMLS</t>
  </si>
  <si>
    <t>REDUCER,CONC.,DN65X40,SCH10SxSCH10S,A403 WP304-S,BW,ASME B16.9,SMLS</t>
  </si>
  <si>
    <t>REDUCER,CONC.,DN100X40,SCH10SxSCH40S,A403 WP304-S,BW,ASME B16.9,SMLS</t>
  </si>
  <si>
    <t>REDUCER,CONC.,DN100X65,SCH10SxSCH10S,A403 WP304-S,BW,ASME B16.9,SMLS</t>
  </si>
  <si>
    <t>REDUCER,CONC.,DN300X200,SCH10SxSCH10S,A403 WP304-S,BW,ASME B16.9,SMLS</t>
  </si>
  <si>
    <t>同心大小頭</t>
    <phoneticPr fontId="4" type="noConversion"/>
  </si>
  <si>
    <t>REDUCER,ECC.,DN50X25,SCH40XSCH80,A234 WPB,BW,ASME B16.9,SMLS</t>
  </si>
  <si>
    <t>REDUCER,ECC.,DN80X40,SCH40XSCH80,A234 WPB,BW,ASME B16.9,SMLS</t>
  </si>
  <si>
    <t>REDUCER,ECC.,DN80X50,SCH40XSCH40,A234 WPB,BW,ASME B16.9,SMLS</t>
  </si>
  <si>
    <t>REDUCER,ECC.,DN100X50,SCH40XSCH40,A234 WPB,BW,ASME B16.9,SMLS</t>
  </si>
  <si>
    <t>REDUCER,ECC.,DN50X25,SCH10SxSCH40S,A403 WP304-S,BW,ASME B16.9,SMLS</t>
  </si>
  <si>
    <t>REDUCER,ECC.,DN65X50,SCH10SxSCH10S,A403 WP304-S,BW,ASME B16.9,SMLS</t>
  </si>
  <si>
    <t>REDUCER,ECC.,DN100X40,SCH10SxSCH40S,A403 WP304-S,BW,ASME B16.9,SMLS</t>
  </si>
  <si>
    <t>偏心大小頭</t>
    <phoneticPr fontId="4" type="noConversion"/>
  </si>
  <si>
    <t>GASKET,DN15,T=3.0mm,CL150,RF,HG/T20627</t>
  </si>
  <si>
    <t>PTFE</t>
  </si>
  <si>
    <t>GASKET,DN20,T=3.0mm,CL150,RF,HG/T20627</t>
  </si>
  <si>
    <t>GASKET,DN25,T=3.0mm,CL150,RF,HG/T20627</t>
  </si>
  <si>
    <t>GASKET,DN32,T=3.0mm,CL150,RF,HG/T20627</t>
  </si>
  <si>
    <t>GASKET,DN40,T=3.0mm,CL150,RF,HG/T20627</t>
  </si>
  <si>
    <t>GASKET,DN50,T=3.0mm,CL150,RF,HG/T20627</t>
  </si>
  <si>
    <t>GASKET,DN65,T=3.0mm,CL150,RF,HG/T20627</t>
  </si>
  <si>
    <t>GASKET,DN80,T=3.0mm,CL150,RF,HG/T20627</t>
  </si>
  <si>
    <t>GASKET,DN100,T=3.0mm,CL150,RF,HG/T20627</t>
  </si>
  <si>
    <t>GASKET,DN200,T=3.0mm,CL150,RF,HG/T20627</t>
  </si>
  <si>
    <t>GASKET,DN300,T=3.0mm,CL150,RF,HG/T20627</t>
  </si>
  <si>
    <t>GASKET</t>
    <phoneticPr fontId="4" type="noConversion"/>
  </si>
  <si>
    <t>SPIRAL WOUND GASKET,DN15,T=4.5mm,CL150,RF,HG/T20631</t>
  </si>
  <si>
    <t>D1222</t>
  </si>
  <si>
    <t>SPIRAL WOUND GASKET,DN25,T=4.5mm,CL150,RF,HG/T20631</t>
  </si>
  <si>
    <t>SPIRAL WOUND GASKET,DN40,T=4.5mm,CL150,RF,HG/T20631</t>
  </si>
  <si>
    <t>SPIRAL WOUND GASKET,DN50,T=4.5mm,CL150,RF,HG/T20631</t>
  </si>
  <si>
    <t>SPIRAL WOUND GASKET,DN65,T=4.5mm,CL150,RF,HG/T20631</t>
  </si>
  <si>
    <t>SPIRAL WOUND GASKET,DN80,T=4.5mm,CL150,RF,HG/T20631</t>
  </si>
  <si>
    <t>SPIRAL WOUND GASKET,DN100,T=4.5mm,CL150,RF,HG/T20631</t>
  </si>
  <si>
    <t>SPIRAL WOUND GASKET,DN200,T=4.5mm,CL150,RF,HG/T20631</t>
  </si>
  <si>
    <t>SPIRAL WOUND GASKET,DN300,T=4.5mm,CL150,RF,HG/T20631</t>
  </si>
  <si>
    <t>F.BOLT,FULL LENGTH THREAD,35CrMo/Dacromet,HG/T20634,W/2 HEX.NUT,30CrMo/Dacromet,HG/T20634</t>
    <phoneticPr fontId="15" type="noConversion"/>
  </si>
  <si>
    <r>
      <t xml:space="preserve">35CrMo/30CrMo/Dacromet
</t>
    </r>
    <r>
      <rPr>
        <sz val="10"/>
        <color rgb="FFFF0000"/>
        <rFont val="Times New Roman"/>
        <family val="1"/>
      </rPr>
      <t>ZINC-CHROMATE TREATMENT</t>
    </r>
    <phoneticPr fontId="15" type="noConversion"/>
  </si>
  <si>
    <r>
      <rPr>
        <sz val="11"/>
        <rFont val="宋体"/>
      </rPr>
      <t>套</t>
    </r>
  </si>
  <si>
    <t>M14x65</t>
    <phoneticPr fontId="4" type="noConversion"/>
  </si>
  <si>
    <t>M14x70</t>
    <phoneticPr fontId="4" type="noConversion"/>
  </si>
  <si>
    <t>M14x75</t>
    <phoneticPr fontId="4" type="noConversion"/>
  </si>
  <si>
    <t>M14x80</t>
    <phoneticPr fontId="4" type="noConversion"/>
  </si>
  <si>
    <t>M14x85</t>
    <phoneticPr fontId="4" type="noConversion"/>
  </si>
  <si>
    <t>M14x90</t>
    <phoneticPr fontId="4" type="noConversion"/>
  </si>
  <si>
    <t>M16x85</t>
    <phoneticPr fontId="4" type="noConversion"/>
  </si>
  <si>
    <t>M16x95</t>
    <phoneticPr fontId="4" type="noConversion"/>
  </si>
  <si>
    <t>M16x150</t>
    <phoneticPr fontId="4" type="noConversion"/>
  </si>
  <si>
    <t>M20x115</t>
    <phoneticPr fontId="4" type="noConversion"/>
  </si>
  <si>
    <t>M24x135</t>
    <phoneticPr fontId="4" type="noConversion"/>
  </si>
  <si>
    <t>BALL VALVE,API608,B16.10,CL150,RF(B16.5),FP,FLB,Lever,A351 CF8,
Trim:304/PTFE,Stem:F304,Pkg:PTFE,Gsk:PTFE,API598,</t>
  </si>
  <si>
    <t>A351 CF8</t>
  </si>
  <si>
    <t>BALL VALVE,API608,B16.10,CL150,RF(B16.5),FP,FLB,Lever,A351 CF8,
Trim:304/PTFE,Stem:F304,Pkg:PTFE,Gsk:PTFE,API598,</t>
    <phoneticPr fontId="4" type="noConversion"/>
  </si>
  <si>
    <t>BALL VALVE 15A</t>
  </si>
  <si>
    <t>BALL VALVE 15A</t>
    <phoneticPr fontId="4" type="noConversion"/>
  </si>
  <si>
    <t>BALL VALVE 20A</t>
    <phoneticPr fontId="4" type="noConversion"/>
  </si>
  <si>
    <t>BALL VALVE 25A</t>
    <phoneticPr fontId="4" type="noConversion"/>
  </si>
  <si>
    <t>BALL VALVE 40A</t>
    <phoneticPr fontId="4" type="noConversion"/>
  </si>
  <si>
    <t>BALL VALVE 50A</t>
    <phoneticPr fontId="4" type="noConversion"/>
  </si>
  <si>
    <t>BALL VALVE 65A</t>
    <phoneticPr fontId="4" type="noConversion"/>
  </si>
  <si>
    <t>BALL VALVE 80A</t>
    <phoneticPr fontId="4" type="noConversion"/>
  </si>
  <si>
    <t>BALL VALVE,API608,B16.10,CL150,RF(B16.5),FP,FLB,Lever,A216 WCB, Trim:304/PTFE,Stem:13Cr,Pkg:PTFE,Gsk:PTFE,API598</t>
  </si>
  <si>
    <t>A216 WCB</t>
  </si>
  <si>
    <t>BALL VALVE 100A</t>
    <phoneticPr fontId="4" type="noConversion"/>
  </si>
  <si>
    <r>
      <t>BALL VALVE,API608,B16.10,CL150,RF(B16.5),FP,FLB,Lever,A216 WCB, Trim:304/PTFE,Stem:13Cr,Pkg:PTFE,Gsk:PTFE,API598</t>
    </r>
    <r>
      <rPr>
        <sz val="12"/>
        <color rgb="FFFF0000"/>
        <rFont val="標楷體"/>
        <family val="4"/>
        <charset val="136"/>
      </rPr>
      <t>(帶閥位信號）</t>
    </r>
    <phoneticPr fontId="4" type="noConversion"/>
  </si>
  <si>
    <t>BALL VALVE,API608,B16.10,CL150,RF(B16.5),FP,FLB,Lever,A216 WCB,Trim:304/RPTFE,Stem:13Cr,Pkg:FG,Gsk:S.W,SS/FG,API598,FS,Anti</t>
  </si>
  <si>
    <t>BALL VALVE 25A(防火)</t>
    <phoneticPr fontId="4" type="noConversion"/>
  </si>
  <si>
    <t>BALL VALVE 40A(防火)</t>
    <phoneticPr fontId="4" type="noConversion"/>
  </si>
  <si>
    <t>BALL VALVE 80A(防火)</t>
    <phoneticPr fontId="4" type="noConversion"/>
  </si>
  <si>
    <t>GLOBE VALVE,API602,B16.10,CL150,RF(B16.5),BB,OS&amp;Y,T,Handwheel,
A105,Trim:STL,Stem:13Cr,Pkg:FG,Gsk:S.W SS/FG,API598</t>
  </si>
  <si>
    <t>GLOBE VALVE,API623,B16.10,CL150,RF(B16.5),BB,OS&amp;Y,T,Handwheel,A216 WCB,Trim:STL,Stem:13Cr,Pkg:FG,Gsk:S.W SS/FG,API598</t>
  </si>
  <si>
    <t>GLOBE VALVE,API602,B16.10,CL150,RF(B16.5),BB,OS&amp;Y,T,Handwheel,
A105,Trim:STL,Stem:13Cr,Pkg:FG,Gsk:S.W SS/FG,API598</t>
    <phoneticPr fontId="4" type="noConversion"/>
  </si>
  <si>
    <t>GLOBE VALVE
15A</t>
    <phoneticPr fontId="4" type="noConversion"/>
  </si>
  <si>
    <t>GLOBE VALVE
25A</t>
  </si>
  <si>
    <t>GLOBE VALVE
25A</t>
    <phoneticPr fontId="4" type="noConversion"/>
  </si>
  <si>
    <t>GLOBE VALVE
50A</t>
    <phoneticPr fontId="4" type="noConversion"/>
  </si>
  <si>
    <r>
      <t>GLOBE VALVE,API602,B16.10,CL150,RF(B16.5),BB,OS&amp;Y,T,Handwheel,
A105,Trim:STL,Stem:13Cr,Pkg:FG,Gsk:S.W SS/FG,API598</t>
    </r>
    <r>
      <rPr>
        <sz val="12"/>
        <color rgb="FFFF0000"/>
        <rFont val="標楷體"/>
        <family val="4"/>
        <charset val="136"/>
      </rPr>
      <t>（耐400℃高溫）</t>
    </r>
    <phoneticPr fontId="4" type="noConversion"/>
  </si>
  <si>
    <t>GLOBE VALVE,API602,B16.10,CL150,RF(B16.5),BB,OS&amp;Y,T,Handwheel,
A182 F304,Trim:STL,Stem:F304,Pkg:FG,Gsk:S.W SS/FG,API598</t>
  </si>
  <si>
    <t>GLOBE VALVE
15A</t>
  </si>
  <si>
    <t>GLOBE VALVE
20A</t>
    <phoneticPr fontId="4" type="noConversion"/>
  </si>
  <si>
    <t>GLOBE VALVE
40A</t>
    <phoneticPr fontId="4" type="noConversion"/>
  </si>
  <si>
    <t>GLOBE VALVE
65A</t>
    <phoneticPr fontId="4" type="noConversion"/>
  </si>
  <si>
    <r>
      <t>GLOBE VALVE,API602,B16.10,CL150,RF(B16.5),BB,OS&amp;Y,T,Handwheel,
A182 F304,Trim:STL,Stem:F304,Pkg:FG,Gsk:S.W SS/FG,API598</t>
    </r>
    <r>
      <rPr>
        <sz val="12"/>
        <color rgb="FFFF0000"/>
        <rFont val="標楷體"/>
        <family val="4"/>
        <charset val="136"/>
      </rPr>
      <t>（耐400℃高溫）</t>
    </r>
    <phoneticPr fontId="4" type="noConversion"/>
  </si>
  <si>
    <t>BUTTERFLY VALVE
100A</t>
    <phoneticPr fontId="4" type="noConversion"/>
  </si>
  <si>
    <t>BUTTERFLY VALVE,API609(B),API609(SHORT),CL150,RF(B16.5),Bi-offset,W-Gear,A216 WCB,Trim:WCB/PTFE,Stem:13Cr,Pkg:FG,API598</t>
  </si>
  <si>
    <t>BUTTERFLY VALVE
200A</t>
    <phoneticPr fontId="4" type="noConversion"/>
  </si>
  <si>
    <t>CHECK VALVE,API602,B16.10,CL150,RF(B16.5),BC,LIFT,A105,Trim:STL,
Gsk:S.W SS/FG,API598</t>
  </si>
  <si>
    <t>CHECK VALVE,BS1868,B16.10,CL150,RF(B16.5),BC,SWING,A216 WCB,Trim:STL,Gsk:S.W SS/FG,API598</t>
  </si>
  <si>
    <t>CHECK VALVE,API602,B16.10,CL150,RF(B16.5),BC,LIFT,A105,Trim:STL,
Gsk:S.W SS/FG,API598</t>
    <phoneticPr fontId="4" type="noConversion"/>
  </si>
  <si>
    <t>CHECK VALVE
15A</t>
    <phoneticPr fontId="4" type="noConversion"/>
  </si>
  <si>
    <t>CHECK VALVE
25A</t>
    <phoneticPr fontId="4" type="noConversion"/>
  </si>
  <si>
    <t>CHECK VALVE
40A</t>
    <phoneticPr fontId="4" type="noConversion"/>
  </si>
  <si>
    <t>CHECK VALVE
80A</t>
    <phoneticPr fontId="4" type="noConversion"/>
  </si>
  <si>
    <t>CHECK VALVE,BS1868,B16.10,CL150,RF(B16.5),BC,SWING,A351 CF8,
Trim:STL,Gsk:S.W SS/FG,API598</t>
  </si>
  <si>
    <t>CHECK VALVE
65A</t>
    <phoneticPr fontId="4" type="noConversion"/>
  </si>
  <si>
    <t>KNIFE GATE VALVE,CL150,RF(B16.5),WCB,PZ73H-150C,</t>
  </si>
  <si>
    <t>KNIFE GATE VALVE,CL150,RF(B16.5),WCB,PZ73H-150C,</t>
    <phoneticPr fontId="4" type="noConversion"/>
  </si>
  <si>
    <t>KNIFE GATE VALVE
50A</t>
    <phoneticPr fontId="4" type="noConversion"/>
  </si>
  <si>
    <t>KNIFE GATE VALVE
80A</t>
    <phoneticPr fontId="4" type="noConversion"/>
  </si>
  <si>
    <t>KNIFE GATE VALVE
100A</t>
    <phoneticPr fontId="4" type="noConversion"/>
  </si>
  <si>
    <t>Y型過濾器</t>
  </si>
  <si>
    <t>STRAINER,Y-TYPE,DN25,CL150,RF(B16.5),REF TO DATASHEET,CS</t>
  </si>
  <si>
    <t>C.S</t>
  </si>
  <si>
    <t>STRAINER,Y-TYPE,DN50,CL150,RF(B16.5),REF TO DATASHEET,CS</t>
  </si>
  <si>
    <t>STRAINER,Y-TYPE,DN80,CL150,RF(B16.5),REF TO DATASHEET,CS</t>
  </si>
  <si>
    <t>STRAINER,Y-TYPE,DN40,CL150,RF(B16.5),REF TO DATASHEET,SS304</t>
  </si>
  <si>
    <t>SS304</t>
  </si>
  <si>
    <t>STRAINER,Y-TYPE,DN50,CL150,RF(B16.5),REF TO DATASHEET,SS304</t>
  </si>
  <si>
    <t>STRAINER,Y-TYPE,DN65,CL150,RF(B16.5),REF TO DATASHEET,SS304</t>
  </si>
  <si>
    <t>STRAINER,Y-TYPE,DN80,CL150,RF(B16.5),REF TO DATASHEET,SS304</t>
  </si>
  <si>
    <t>T型過濾器</t>
  </si>
  <si>
    <t>STRAINER,T-TYPE,DN40,CL150,RF(B16.5),REF TO DATASHEET,SS304</t>
  </si>
  <si>
    <t>SIGHT GLASS,DN25,CL150,RF(B16.5),REF TO DATASHEET,SS304</t>
  </si>
  <si>
    <t>SIGHT GLASS,DN40,CL150,RF(B16.5),REF TO DATASHEET,SS304</t>
  </si>
  <si>
    <t>SIGHT GLASS,DN20,CL150,RF(B16.5),REF TO DATASHEET,SS304</t>
    <phoneticPr fontId="4" type="noConversion"/>
  </si>
  <si>
    <t>SIGHT GLASS</t>
    <phoneticPr fontId="4" type="noConversion"/>
  </si>
  <si>
    <t>快速接頭</t>
  </si>
  <si>
    <t>快速接頭,DN25,FNPT,CL3000,</t>
  </si>
  <si>
    <t>S304</t>
  </si>
  <si>
    <t>套</t>
  </si>
  <si>
    <t>COUPLING</t>
  </si>
  <si>
    <t>COUPLING,DN15,A105,CL3000,SW,ASME B16.11</t>
  </si>
  <si>
    <t>COUPLING,DN20,A105,CL3000,SW,ASME B16.11</t>
  </si>
  <si>
    <t>COUPLING,DN25,A105,CL3000,SW,ASME B16.11</t>
  </si>
  <si>
    <t>COUPLING,DN40,A105,CL3000,SW,ASME B16.11</t>
  </si>
  <si>
    <t>COUPLING,DN15,A182 F304,CL3000,SW,ASME B16.11</t>
  </si>
  <si>
    <t>COUPLING,DN20,A182 F304,CL3000,SW,ASME B16.11</t>
  </si>
  <si>
    <t>COUPLING,DN25,A182 F304,CL3000,SW,ASME B16.11</t>
  </si>
  <si>
    <t>COUPLING,DN40,A182 F304,CL3000,SW,ASME B16.11</t>
  </si>
  <si>
    <t>單頭螺紋短管,SCH80,DN15,L=100mm,A106 GR.B,PE/MNPT,ASME B36.10M,SMLS</t>
    <phoneticPr fontId="4" type="noConversion"/>
  </si>
  <si>
    <t>單頭螺紋短管,SCH40s,DN15,L=100mm,A312 TP304,PE/MNPT,ASME B36.10M,SMLS</t>
  </si>
  <si>
    <t>單頭螺紋短管,SCH40s,DN25,L=100mm,A312 TP304,PE/MNPT,ASME B36.10M,SMLS</t>
  </si>
  <si>
    <t>TOE NIPPLE</t>
    <phoneticPr fontId="4" type="noConversion"/>
  </si>
  <si>
    <t>承插焊支管座,SOCKETOLET,DN50x15,CL3000,SW,MSS SP-97,A182 F304</t>
  </si>
  <si>
    <t>承插焊支管座,SOCKETOLET,DN65x15,CL3000,SW,MSS SP-97,A182 F304</t>
  </si>
  <si>
    <t>承插焊支管座,SOCKETOLET,DN80x15,CL3000,SW,MSS SP-97,A182 F304</t>
  </si>
  <si>
    <t>承插焊支管座,SOCKETOLET,DN80x25,CL3000,SW,MSS SP-97,A182 F304</t>
  </si>
  <si>
    <t>SOCKETOLET</t>
    <phoneticPr fontId="4" type="noConversion"/>
  </si>
  <si>
    <t>承插焊支管座,SOCKETOLET,DN50x15,CL3000,SW,MSS SP-97, A105</t>
  </si>
  <si>
    <t>承插焊支管座,SOCKETOLET,DN80x15,CL3000,SW,MSS SP-97, A105</t>
  </si>
  <si>
    <t>承插焊支管座,SOCKETOLET,DN80x25,CL3000,SW,MSS SP-97, A105</t>
  </si>
  <si>
    <t>承插焊支管座,SOCKETOLETE,DN100x15,CL3000,SW,MSS SP-97, A105</t>
  </si>
  <si>
    <t>承插焊支管座,SOCKETOLET,DN100x25,CL3000,SW,MSS SP-97, A105</t>
  </si>
  <si>
    <t>承插焊支管座,SOCKETOLET,DN200x15,CL3000,SW,MSS SP-97, A105</t>
  </si>
  <si>
    <t>對焊支管座,WELDOLET,DN80x25,SCH40xSCH80,BW,MSS SP-97,STD, A105</t>
    <phoneticPr fontId="4" type="noConversion"/>
  </si>
  <si>
    <t>WELDOLET</t>
    <phoneticPr fontId="4" type="noConversion"/>
  </si>
  <si>
    <t>U型螺栓,DN15,A1,HG/T21629-2021,DN15(美標管外徑,帶雙螺母)</t>
  </si>
  <si>
    <t>20#/Galvanized</t>
  </si>
  <si>
    <t>U型螺栓,DN20,A1,HG/T21629-2021,DN20(美標管外徑,帶雙螺母)</t>
  </si>
  <si>
    <t>U型螺栓,DN25,A1,HG/T21629-2021,DN25(美標管外徑,帶雙螺母)</t>
  </si>
  <si>
    <t>U型螺栓,DN40,A1,HG/T21629-2021,DN32(美標管外徑,帶雙螺母)</t>
  </si>
  <si>
    <t>U型螺栓,DN50,A1,HG/T21629-2021,DN40(美標管外徑,帶雙螺母)</t>
  </si>
  <si>
    <t>U型螺栓,DN65,A1,HG/T21629-2021,DN40(美標管外徑,帶雙螺母)</t>
  </si>
  <si>
    <t>U型螺栓,DN80,A1,HG/T21629-2021,DN50(美標管外徑,帶雙螺母)</t>
  </si>
  <si>
    <t>U型螺栓,DN100,A1,HG/T21629-2021,DN65(美標管外徑,帶雙螺母)</t>
  </si>
  <si>
    <t>U型螺栓</t>
  </si>
  <si>
    <t>合約數量</t>
    <phoneticPr fontId="4" type="noConversion"/>
  </si>
  <si>
    <t>GLOBE VALVE,API603,B16.10,CL150,RF(B16.5),BB,OS&amp;Y,T,Handwheel,
A351 CF8,Trim:STL,Stem:F304,Pkg:FG,Gsk:S.W SS/FG,API598</t>
    <phoneticPr fontId="4" type="noConversion"/>
  </si>
  <si>
    <t>CHECK VALVE,API602,B16.10,CL150,RF(B16.5),BC,LIFT,A182 F304,Trim:STL,Gsk:S.W SS/FG,API598</t>
    <phoneticPr fontId="4" type="noConversion"/>
  </si>
  <si>
    <r>
      <rPr>
        <strike/>
        <sz val="12"/>
        <color rgb="FFFF0000"/>
        <rFont val="標楷體"/>
        <family val="4"/>
        <charset val="136"/>
      </rPr>
      <t>F304</t>
    </r>
    <r>
      <rPr>
        <sz val="12"/>
        <rFont val="標楷體"/>
        <family val="4"/>
        <charset val="136"/>
      </rPr>
      <t xml:space="preserve"> </t>
    </r>
    <r>
      <rPr>
        <sz val="12"/>
        <color rgb="FFFF0000"/>
        <rFont val="標楷體"/>
        <family val="4"/>
        <charset val="136"/>
      </rPr>
      <t>A351 CF8</t>
    </r>
    <phoneticPr fontId="4" type="noConversion"/>
  </si>
  <si>
    <t>SUS304.手動</t>
  </si>
  <si>
    <r>
      <rPr>
        <strike/>
        <sz val="12"/>
        <color rgb="FFFF0000"/>
        <rFont val="標楷體"/>
        <family val="4"/>
        <charset val="136"/>
      </rPr>
      <t>F304</t>
    </r>
    <r>
      <rPr>
        <sz val="12"/>
        <color rgb="FFFF0000"/>
        <rFont val="標楷體"/>
        <family val="4"/>
        <charset val="136"/>
      </rPr>
      <t xml:space="preserve"> A351 CF8，400℃</t>
    </r>
    <phoneticPr fontId="4" type="noConversion"/>
  </si>
  <si>
    <t>HOLD</t>
  </si>
  <si>
    <t>HOLD</t>
    <phoneticPr fontId="4" type="noConversion"/>
  </si>
  <si>
    <t>FLANGE,DN25,CL150,WN-RF,ASME B16.5 S80</t>
    <phoneticPr fontId="4" type="noConversion"/>
  </si>
  <si>
    <t>FLANGE,DN40,CL150,WN-RF,ASME B16.5 S80</t>
    <phoneticPr fontId="4" type="noConversion"/>
  </si>
  <si>
    <t>FLANGE,DN80,CL150,WN-RF,ASME B16.5 S40</t>
    <phoneticPr fontId="4" type="noConversion"/>
  </si>
  <si>
    <t>日期:  2025年  04月 08日</t>
    <phoneticPr fontId="6" type="noConversion"/>
  </si>
  <si>
    <t>訂購編號：20250408-001</t>
    <phoneticPr fontId="6" type="noConversion"/>
  </si>
  <si>
    <t>材料管制單</t>
    <phoneticPr fontId="5" type="noConversion"/>
  </si>
  <si>
    <t>採購數量</t>
    <phoneticPr fontId="6" type="noConversion"/>
  </si>
  <si>
    <t>數量
(庫存)</t>
    <phoneticPr fontId="6" type="noConversion"/>
  </si>
  <si>
    <t>數量
(4/8)</t>
    <phoneticPr fontId="6" type="noConversion"/>
  </si>
  <si>
    <t>累計採購數量</t>
    <phoneticPr fontId="6" type="noConversion"/>
  </si>
  <si>
    <t>差異數量</t>
    <phoneticPr fontId="6" type="noConversion"/>
  </si>
  <si>
    <t>累計收料</t>
    <phoneticPr fontId="6" type="noConversion"/>
  </si>
  <si>
    <t>收料數量
(4/14)</t>
    <phoneticPr fontId="6" type="noConversion"/>
  </si>
  <si>
    <t>收料數量
(4/17)</t>
    <phoneticPr fontId="6" type="noConversion"/>
  </si>
  <si>
    <t>收料數量
(4/18)</t>
    <phoneticPr fontId="6" type="noConversion"/>
  </si>
  <si>
    <t/>
  </si>
  <si>
    <t>收料數量
(4/22)</t>
    <phoneticPr fontId="6" type="noConversion"/>
  </si>
  <si>
    <t>收料數量
(4/23)</t>
    <phoneticPr fontId="6" type="noConversion"/>
  </si>
  <si>
    <t>M14x110</t>
  </si>
  <si>
    <t>M14x130</t>
  </si>
  <si>
    <t>M20x320</t>
  </si>
  <si>
    <t>BALL VALVE,API608,B16.10,CL150,RF(B16.5),FP,FLB,Lever,A351 CF8,
Trim:304/PTFE,Stem:F304,Pkg:PTFE,Gsk:PTFE,API598,(帶閥位信號）</t>
  </si>
  <si>
    <t>CHECK VALVE
25A</t>
  </si>
  <si>
    <t>CHECK VALVE,API594,CL150,WAFER-RF(B16.5),WAFER TYPE LIFT,A105,Trim:304/STL,Spring:316,API598</t>
  </si>
  <si>
    <t>CHECK VALVE
40A</t>
  </si>
  <si>
    <t>CHECK VALVE,API594,CL150,WAFER-RF(B16.5),WAFER TYPE LIFT,A182 F304,Trim:304/STL,Spring:316,API598</t>
  </si>
  <si>
    <t>KNIFE GATE VALVE,CL150,RF(B16.5),WCB,PZ73H-150C,（高溫，可按300°考慮）</t>
  </si>
  <si>
    <t>SOCKETOLET,DN100x25,CL3000,SW,MSS SP-97,A182 F304</t>
  </si>
  <si>
    <t>U型螺栓,DN200,A1,HG/T21629-2021,(美標管外徑,帶雙螺母)</t>
  </si>
  <si>
    <t>限流孔板</t>
  </si>
  <si>
    <t>管道阻火器</t>
  </si>
  <si>
    <t>噴嘴</t>
  </si>
  <si>
    <t>管道混合器</t>
  </si>
  <si>
    <t>FLANGE,DN15,CL150,WN-RF,ASME B16.5 S80</t>
    <phoneticPr fontId="4" type="noConversion"/>
  </si>
  <si>
    <t>REDUCING TEE,DN40X15,SCH40sxSCH40s,A182 F304,CL3000,SW,ASME B16.11</t>
    <phoneticPr fontId="4" type="noConversion"/>
  </si>
  <si>
    <r>
      <t>REDUCER,CONC.,DN50X40,SCH10SxSCH</t>
    </r>
    <r>
      <rPr>
        <sz val="12"/>
        <color rgb="FFFF0000"/>
        <rFont val="標楷體"/>
        <family val="4"/>
        <charset val="136"/>
      </rPr>
      <t>1</t>
    </r>
    <r>
      <rPr>
        <sz val="12"/>
        <color theme="1"/>
        <rFont val="標楷體"/>
        <family val="4"/>
        <charset val="136"/>
      </rPr>
      <t>0S,A403 WP304-S,BW,ASME B16.9,SMLS</t>
    </r>
    <phoneticPr fontId="4" type="noConversion"/>
  </si>
  <si>
    <t>BALL VALVE 15A(防火)</t>
    <phoneticPr fontId="4" type="noConversion"/>
  </si>
  <si>
    <t>KNIFE GATE VALVE
15A</t>
    <phoneticPr fontId="4" type="noConversion"/>
  </si>
  <si>
    <t>STRAINER,Y-TYPE,DN65,CL150,RF(B16.5),REF TO DATASHEET,CS</t>
    <phoneticPr fontId="4" type="noConversion"/>
  </si>
  <si>
    <t>STRAINER,Y-TYPE,DN25,CL150,RF(B16.5),REF TO DATASHEET,CS</t>
    <phoneticPr fontId="4" type="noConversion"/>
  </si>
  <si>
    <t>單頭螺紋短管,SCH80,DN25,L=100mm,A106 GR.B,PE/MNPT,ASME B36.10M,SMLS</t>
    <phoneticPr fontId="4" type="noConversion"/>
  </si>
  <si>
    <t>對焊支管座,WELDOLET,DN80x15,SCH40xSCH80,BW,MSS SP-97,STD, A105</t>
    <phoneticPr fontId="4" type="noConversion"/>
  </si>
  <si>
    <t>DN25</t>
    <phoneticPr fontId="4" type="noConversion"/>
  </si>
  <si>
    <t>靜態混合器 DN32</t>
    <phoneticPr fontId="4" type="noConversion"/>
  </si>
  <si>
    <t>圖面數量(4/22)</t>
    <phoneticPr fontId="4" type="noConversion"/>
  </si>
  <si>
    <t>CHECK VALVE
50A</t>
    <phoneticPr fontId="4" type="noConversion"/>
  </si>
  <si>
    <t>收料數量
(4/25)</t>
    <phoneticPr fontId="6" type="noConversion"/>
  </si>
  <si>
    <t>熱浸鋅膨脹螺絲附螺帽</t>
  </si>
  <si>
    <t>M12*125 A307Gr.B Galv.</t>
    <phoneticPr fontId="4" type="noConversion"/>
  </si>
  <si>
    <t>HEX HEAD HEAVY NUT A194 GR.2H ZINC-CHROMATE TREATMENT</t>
  </si>
  <si>
    <t>M16</t>
    <phoneticPr fontId="4" type="noConversion"/>
  </si>
  <si>
    <t>收料數量
(4/29)</t>
    <phoneticPr fontId="6" type="noConversion"/>
  </si>
  <si>
    <t>收料數量
(5/2)</t>
    <phoneticPr fontId="6" type="noConversion"/>
  </si>
  <si>
    <t>收料數量
(5/7)</t>
    <phoneticPr fontId="6" type="noConversion"/>
  </si>
  <si>
    <t>收料數量
(5/9)</t>
    <phoneticPr fontId="6" type="noConversion"/>
  </si>
  <si>
    <t>收料數量
(5/12)</t>
    <phoneticPr fontId="6" type="noConversion"/>
  </si>
  <si>
    <t>收料數量
(5/16)</t>
    <phoneticPr fontId="6" type="noConversion"/>
  </si>
  <si>
    <t>收料數量
(5/21)</t>
    <phoneticPr fontId="6" type="noConversion"/>
  </si>
  <si>
    <t>收料數量
(5/23)</t>
    <phoneticPr fontId="6" type="noConversion"/>
  </si>
  <si>
    <t>收料數量
(5/26)</t>
    <phoneticPr fontId="6" type="noConversion"/>
  </si>
  <si>
    <t>改1/2"*70</t>
  </si>
  <si>
    <t>改1/2"*75</t>
  </si>
  <si>
    <t>改1/2"*80</t>
  </si>
  <si>
    <t>改1/2"*85</t>
  </si>
  <si>
    <t>改1/2"*90</t>
  </si>
  <si>
    <t>改M16*90</t>
  </si>
  <si>
    <t>改M16*100</t>
  </si>
  <si>
    <t>改M16*120</t>
  </si>
  <si>
    <t>改M24*140</t>
  </si>
  <si>
    <t>改1/2"*110</t>
  </si>
  <si>
    <t>改1/2"*130</t>
  </si>
  <si>
    <t>收料數量
(6/2)</t>
    <phoneticPr fontId="6" type="noConversion"/>
  </si>
  <si>
    <t>收料數量
(6/6)</t>
    <phoneticPr fontId="6" type="noConversion"/>
  </si>
  <si>
    <t>數量
(6/10)</t>
    <phoneticPr fontId="4" type="noConversion"/>
  </si>
  <si>
    <t>90DEG ELBOW,DN15,SCH80,A234 WPB,LR,BW,ASME B16.9,SMLS</t>
  </si>
  <si>
    <t>45DEG ELBOW,DN25,SCH80,A234 WPB,LR,BW,ASME B16.9,SMLS</t>
  </si>
  <si>
    <t>收料數量
(6/12)</t>
    <phoneticPr fontId="6" type="noConversion"/>
  </si>
  <si>
    <t>取消</t>
    <phoneticPr fontId="4" type="noConversion"/>
  </si>
  <si>
    <t>數量
(6/19)</t>
    <phoneticPr fontId="4" type="noConversion"/>
  </si>
  <si>
    <t>收料數量
(6/17)</t>
    <phoneticPr fontId="6" type="noConversion"/>
  </si>
  <si>
    <t>收料數量
(6/18)</t>
    <phoneticPr fontId="6" type="noConversion"/>
  </si>
  <si>
    <t>數量
(7/22)</t>
    <phoneticPr fontId="4" type="noConversion"/>
  </si>
  <si>
    <t>數量
(8/1)</t>
    <phoneticPr fontId="4" type="noConversion"/>
  </si>
  <si>
    <t>同心大小頭</t>
  </si>
  <si>
    <t>REDUCER,CONC.,DN80X50,SCH40XSCH40,A234 WPB,BW,ASME B16.9,SMLS</t>
  </si>
  <si>
    <t>REDUCER,CONC.,DN50X20,SCH40XSCH40,A234 WPB,BW,ASME B16.9,SMLS</t>
  </si>
  <si>
    <t>REDUCER,CONC.,DN20X15,SCH40XSCH40,A234 WPB,BW,ASME B16.9,SMLS</t>
  </si>
  <si>
    <t>NIPPLE</t>
  </si>
  <si>
    <t>螺紋短管,SCH80,1/4",L=200mm,A106 GR.B,NPT,ASME B36.10M,SMLS</t>
  </si>
  <si>
    <t>收料數量
(8/14)</t>
    <phoneticPr fontId="4" type="noConversion"/>
  </si>
  <si>
    <t>數量
(8/18)</t>
    <phoneticPr fontId="4" type="noConversion"/>
  </si>
  <si>
    <t>收料數量
(8/18)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</si>
</sst>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</numFmts>
  <fonts count="2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標楷體"/>
      <family val="4"/>
      <charset val="136"/>
    </font>
    <font>
      <sz val="22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indexed="8"/>
      <name val="微軟正黑體"/>
      <family val="2"/>
      <charset val="136"/>
    </font>
    <font>
      <sz val="12"/>
      <color rgb="FFFF0000"/>
      <name val="標楷體"/>
      <family val="4"/>
      <charset val="136"/>
    </font>
    <font>
      <b/>
      <sz val="14"/>
      <name val="宋体"/>
      <family val="3"/>
      <charset val="136"/>
    </font>
    <font>
      <strike/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1"/>
      <name val="宋体"/>
    </font>
    <font>
      <strike/>
      <sz val="12"/>
      <color rgb="FFFF0000"/>
      <name val="標楷體"/>
      <family val="4"/>
      <charset val="136"/>
    </font>
    <font>
      <sz val="10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/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176" fontId="2" fillId="0" borderId="0" xfId="8" applyNumberFormat="1" applyFont="1">
      <alignment vertical="center"/>
    </xf>
    <xf numFmtId="0" fontId="2" fillId="0" borderId="3" xfId="1" quotePrefix="1" applyBorder="1" applyAlignment="1">
      <alignment horizontal="left" vertical="center" wrapText="1"/>
    </xf>
    <xf numFmtId="0" fontId="2" fillId="0" borderId="4" xfId="1" applyBorder="1" applyAlignment="1">
      <alignment horizontal="center" vertical="center"/>
    </xf>
    <xf numFmtId="176" fontId="10" fillId="0" borderId="2" xfId="8" applyNumberFormat="1" applyFont="1" applyBorder="1" applyAlignment="1">
      <alignment horizontal="center" vertical="center"/>
    </xf>
    <xf numFmtId="0" fontId="2" fillId="0" borderId="7" xfId="0" applyFont="1" applyBorder="1" applyAlignment="1"/>
    <xf numFmtId="43" fontId="8" fillId="0" borderId="0" xfId="8" quotePrefix="1" applyFont="1" applyAlignment="1">
      <alignment horizontal="left"/>
    </xf>
    <xf numFmtId="43" fontId="2" fillId="0" borderId="0" xfId="8" applyFont="1">
      <alignment vertical="center"/>
    </xf>
    <xf numFmtId="176" fontId="2" fillId="0" borderId="3" xfId="8" quotePrefix="1" applyNumberFormat="1" applyFont="1" applyBorder="1" applyAlignment="1">
      <alignment horizontal="center" wrapText="1"/>
    </xf>
    <xf numFmtId="0" fontId="8" fillId="0" borderId="3" xfId="1" applyFont="1" applyBorder="1" applyAlignment="1">
      <alignment horizontal="left" vertical="top" wrapText="1"/>
    </xf>
    <xf numFmtId="0" fontId="8" fillId="2" borderId="3" xfId="1" applyFont="1" applyFill="1" applyBorder="1" applyAlignment="1">
      <alignment horizontal="left" vertical="top" wrapText="1"/>
    </xf>
    <xf numFmtId="0" fontId="2" fillId="0" borderId="0" xfId="1" applyAlignment="1">
      <alignment vertical="center" wrapText="1"/>
    </xf>
    <xf numFmtId="0" fontId="8" fillId="0" borderId="6" xfId="1" applyFont="1" applyBorder="1" applyAlignment="1">
      <alignment horizontal="left" vertical="top" wrapText="1"/>
    </xf>
    <xf numFmtId="176" fontId="2" fillId="0" borderId="5" xfId="8" quotePrefix="1" applyNumberFormat="1" applyFont="1" applyBorder="1" applyAlignment="1">
      <alignment horizontal="center" wrapText="1"/>
    </xf>
    <xf numFmtId="0" fontId="2" fillId="0" borderId="8" xfId="1" quotePrefix="1" applyBorder="1" applyAlignment="1">
      <alignment horizontal="left" vertical="center" wrapText="1"/>
    </xf>
    <xf numFmtId="0" fontId="16" fillId="2" borderId="1" xfId="4" applyFont="1" applyFill="1" applyBorder="1" applyAlignment="1">
      <alignment horizontal="center" vertical="center" wrapText="1"/>
    </xf>
    <xf numFmtId="176" fontId="2" fillId="0" borderId="0" xfId="8" applyNumberFormat="1" applyFont="1" applyAlignment="1"/>
    <xf numFmtId="176" fontId="7" fillId="0" borderId="0" xfId="8" applyNumberFormat="1" applyFont="1">
      <alignment vertical="center"/>
    </xf>
    <xf numFmtId="176" fontId="7" fillId="0" borderId="0" xfId="8" applyNumberFormat="1" applyFont="1" applyAlignment="1">
      <alignment horizontal="center" vertical="center"/>
    </xf>
    <xf numFmtId="176" fontId="7" fillId="2" borderId="0" xfId="8" applyNumberFormat="1" applyFont="1" applyFill="1">
      <alignment vertical="center"/>
    </xf>
    <xf numFmtId="0" fontId="2" fillId="2" borderId="3" xfId="1" quotePrefix="1" applyFill="1" applyBorder="1" applyAlignment="1">
      <alignment horizontal="left" vertical="center" wrapText="1"/>
    </xf>
    <xf numFmtId="0" fontId="2" fillId="3" borderId="3" xfId="1" quotePrefix="1" applyFill="1" applyBorder="1" applyAlignment="1">
      <alignment horizontal="left" vertical="center" wrapText="1"/>
    </xf>
    <xf numFmtId="0" fontId="14" fillId="2" borderId="3" xfId="1" quotePrefix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/>
    <xf numFmtId="0" fontId="3" fillId="0" borderId="0" xfId="0" quotePrefix="1" applyFont="1" applyAlignment="1"/>
    <xf numFmtId="176" fontId="20" fillId="3" borderId="0" xfId="8" applyNumberFormat="1" applyFont="1" applyFill="1" applyAlignment="1">
      <alignment horizontal="center" wrapText="1"/>
    </xf>
    <xf numFmtId="176" fontId="7" fillId="0" borderId="0" xfId="1" applyNumberFormat="1" applyFont="1">
      <alignment vertical="center"/>
    </xf>
    <xf numFmtId="41" fontId="2" fillId="0" borderId="0" xfId="0" applyNumberFormat="1" applyFont="1" applyAlignment="1"/>
    <xf numFmtId="41" fontId="2" fillId="0" borderId="0" xfId="6" applyNumberFormat="1" applyFont="1" applyFill="1" applyBorder="1"/>
    <xf numFmtId="0" fontId="2" fillId="4" borderId="0" xfId="0" applyFont="1" applyFill="1" applyAlignment="1">
      <alignment horizontal="center"/>
    </xf>
    <xf numFmtId="0" fontId="8" fillId="3" borderId="3" xfId="1" applyFont="1" applyFill="1" applyBorder="1" applyAlignment="1">
      <alignment horizontal="left" vertical="top" wrapText="1"/>
    </xf>
    <xf numFmtId="176" fontId="2" fillId="3" borderId="3" xfId="8" quotePrefix="1" applyNumberFormat="1" applyFont="1" applyFill="1" applyBorder="1" applyAlignment="1">
      <alignment horizontal="center" wrapText="1"/>
    </xf>
    <xf numFmtId="0" fontId="8" fillId="3" borderId="6" xfId="1" applyFont="1" applyFill="1" applyBorder="1" applyAlignment="1">
      <alignment horizontal="left" vertical="top" wrapText="1"/>
    </xf>
    <xf numFmtId="0" fontId="16" fillId="3" borderId="1" xfId="4" applyFont="1" applyFill="1" applyBorder="1" applyAlignment="1">
      <alignment horizontal="center" vertical="center" wrapText="1"/>
    </xf>
    <xf numFmtId="176" fontId="2" fillId="3" borderId="5" xfId="8" quotePrefix="1" applyNumberFormat="1" applyFont="1" applyFill="1" applyBorder="1" applyAlignment="1">
      <alignment horizontal="center" wrapText="1"/>
    </xf>
    <xf numFmtId="176" fontId="2" fillId="3" borderId="1" xfId="0" applyNumberFormat="1" applyFont="1" applyFill="1" applyBorder="1" applyAlignment="1"/>
    <xf numFmtId="176" fontId="2" fillId="4" borderId="1" xfId="0" applyNumberFormat="1" applyFont="1" applyFill="1" applyBorder="1" applyAlignment="1"/>
    <xf numFmtId="176" fontId="7" fillId="0" borderId="9" xfId="8" applyNumberFormat="1" applyFont="1" applyBorder="1" applyAlignment="1">
      <alignment horizontal="center" vertical="center" wrapText="1"/>
    </xf>
    <xf numFmtId="41" fontId="2" fillId="4" borderId="9" xfId="6" applyNumberFormat="1" applyFont="1" applyFill="1" applyBorder="1" applyAlignment="1">
      <alignment horizontal="center"/>
    </xf>
    <xf numFmtId="176" fontId="7" fillId="0" borderId="9" xfId="8" applyNumberFormat="1" applyFont="1" applyBorder="1">
      <alignment vertical="center"/>
    </xf>
    <xf numFmtId="41" fontId="2" fillId="0" borderId="9" xfId="6" applyNumberFormat="1" applyFont="1" applyFill="1" applyBorder="1"/>
    <xf numFmtId="0" fontId="7" fillId="0" borderId="9" xfId="1" applyFont="1" applyBorder="1">
      <alignment vertical="center"/>
    </xf>
    <xf numFmtId="0" fontId="2" fillId="0" borderId="10" xfId="0" applyFont="1" applyBorder="1" applyAlignment="1"/>
    <xf numFmtId="0" fontId="8" fillId="2" borderId="8" xfId="1" applyFont="1" applyFill="1" applyBorder="1" applyAlignment="1">
      <alignment horizontal="left" vertical="top" wrapText="1"/>
    </xf>
    <xf numFmtId="176" fontId="2" fillId="0" borderId="8" xfId="8" quotePrefix="1" applyNumberFormat="1" applyFont="1" applyBorder="1" applyAlignment="1">
      <alignment horizontal="center" wrapText="1"/>
    </xf>
    <xf numFmtId="0" fontId="2" fillId="0" borderId="11" xfId="1" applyBorder="1" applyAlignment="1">
      <alignment horizontal="center" vertical="center"/>
    </xf>
    <xf numFmtId="0" fontId="8" fillId="0" borderId="8" xfId="1" applyFont="1" applyBorder="1" applyAlignment="1">
      <alignment horizontal="left" vertical="top" wrapText="1"/>
    </xf>
    <xf numFmtId="0" fontId="8" fillId="3" borderId="8" xfId="1" applyFont="1" applyFill="1" applyBorder="1" applyAlignment="1">
      <alignment horizontal="left" vertical="top" wrapText="1"/>
    </xf>
    <xf numFmtId="0" fontId="2" fillId="3" borderId="8" xfId="1" quotePrefix="1" applyFill="1" applyBorder="1" applyAlignment="1">
      <alignment horizontal="left" vertical="center" wrapText="1"/>
    </xf>
    <xf numFmtId="176" fontId="2" fillId="3" borderId="8" xfId="8" quotePrefix="1" applyNumberFormat="1" applyFont="1" applyFill="1" applyBorder="1" applyAlignment="1">
      <alignment horizontal="center" wrapText="1"/>
    </xf>
    <xf numFmtId="0" fontId="8" fillId="3" borderId="12" xfId="1" applyFont="1" applyFill="1" applyBorder="1" applyAlignment="1">
      <alignment horizontal="left" vertical="top" wrapText="1"/>
    </xf>
    <xf numFmtId="0" fontId="16" fillId="3" borderId="13" xfId="4" applyFont="1" applyFill="1" applyBorder="1" applyAlignment="1">
      <alignment horizontal="center" vertical="center" wrapText="1"/>
    </xf>
    <xf numFmtId="176" fontId="2" fillId="3" borderId="14" xfId="8" quotePrefix="1" applyNumberFormat="1" applyFont="1" applyFill="1" applyBorder="1" applyAlignment="1">
      <alignment horizontal="center" wrapText="1"/>
    </xf>
    <xf numFmtId="0" fontId="2" fillId="0" borderId="15" xfId="0" applyFont="1" applyBorder="1" applyAlignment="1"/>
    <xf numFmtId="0" fontId="2" fillId="0" borderId="9" xfId="1" applyBorder="1" applyAlignment="1">
      <alignment horizontal="center" vertical="center"/>
    </xf>
    <xf numFmtId="0" fontId="2" fillId="0" borderId="9" xfId="1" quotePrefix="1" applyBorder="1" applyAlignment="1">
      <alignment horizontal="center" vertical="center"/>
    </xf>
    <xf numFmtId="0" fontId="8" fillId="0" borderId="9" xfId="1" applyFont="1" applyBorder="1" applyAlignment="1">
      <alignment horizontal="center" vertical="center" wrapText="1"/>
    </xf>
    <xf numFmtId="43" fontId="2" fillId="0" borderId="9" xfId="8" quotePrefix="1" applyFont="1" applyBorder="1" applyAlignment="1">
      <alignment horizontal="center" vertical="center" wrapText="1"/>
    </xf>
    <xf numFmtId="0" fontId="2" fillId="0" borderId="9" xfId="0" applyFont="1" applyBorder="1" applyAlignment="1"/>
    <xf numFmtId="0" fontId="2" fillId="0" borderId="9" xfId="1" quotePrefix="1" applyBorder="1" applyAlignment="1">
      <alignment horizontal="left" vertical="center" wrapText="1"/>
    </xf>
    <xf numFmtId="0" fontId="8" fillId="0" borderId="9" xfId="1" applyFont="1" applyBorder="1" applyAlignment="1">
      <alignment horizontal="left" vertical="top" wrapText="1"/>
    </xf>
    <xf numFmtId="176" fontId="2" fillId="0" borderId="9" xfId="8" quotePrefix="1" applyNumberFormat="1" applyFont="1" applyBorder="1" applyAlignment="1">
      <alignment horizontal="center" wrapText="1"/>
    </xf>
    <xf numFmtId="0" fontId="8" fillId="3" borderId="9" xfId="1" applyFont="1" applyFill="1" applyBorder="1" applyAlignment="1">
      <alignment horizontal="left" vertical="top" wrapText="1"/>
    </xf>
    <xf numFmtId="0" fontId="2" fillId="3" borderId="9" xfId="1" quotePrefix="1" applyFill="1" applyBorder="1" applyAlignment="1">
      <alignment horizontal="left" vertical="center" wrapText="1"/>
    </xf>
    <xf numFmtId="176" fontId="2" fillId="3" borderId="9" xfId="8" quotePrefix="1" applyNumberFormat="1" applyFont="1" applyFill="1" applyBorder="1" applyAlignment="1">
      <alignment horizontal="center" wrapText="1"/>
    </xf>
    <xf numFmtId="0" fontId="9" fillId="0" borderId="9" xfId="1" quotePrefix="1" applyFont="1" applyBorder="1" applyAlignment="1">
      <alignment horizontal="left" vertical="center"/>
    </xf>
    <xf numFmtId="0" fontId="7" fillId="3" borderId="0" xfId="1" applyFont="1" applyFill="1">
      <alignment vertical="center"/>
    </xf>
    <xf numFmtId="0" fontId="20" fillId="3" borderId="0" xfId="1" applyFont="1" applyFill="1" applyAlignment="1">
      <alignment horizontal="center" vertical="center" wrapText="1"/>
    </xf>
    <xf numFmtId="0" fontId="2" fillId="0" borderId="0" xfId="1" quotePrefix="1" applyAlignment="1">
      <alignment horizontal="left"/>
    </xf>
    <xf numFmtId="176" fontId="2" fillId="0" borderId="0" xfId="8" applyNumberFormat="1" applyFont="1" applyAlignment="1">
      <alignment horizontal="left" vertical="center"/>
    </xf>
  </cellXfs>
  <cellStyles count="25">
    <cellStyle name="一般" xfId="0" builtinId="0"/>
    <cellStyle name="一般 2" xfId="5" xr:uid="{00000000-0005-0000-0000-000001000000}"/>
    <cellStyle name="一般 2 2" xfId="1" xr:uid="{00000000-0005-0000-0000-000002000000}"/>
    <cellStyle name="一般 2 3" xfId="14" xr:uid="{06AA21AE-D46B-4963-ADC8-43DF701F49B0}"/>
    <cellStyle name="一般 2 4" xfId="12" xr:uid="{D0DB9807-250B-43C2-868F-54555DAA5921}"/>
    <cellStyle name="一般 3" xfId="4" xr:uid="{00000000-0005-0000-0000-000003000000}"/>
    <cellStyle name="千分位" xfId="8" builtinId="3"/>
    <cellStyle name="千分位 2" xfId="3" xr:uid="{00000000-0005-0000-0000-000005000000}"/>
    <cellStyle name="千分位 2 2" xfId="9" xr:uid="{CE25E828-7F3E-45C1-BF1E-C15E8B28BD63}"/>
    <cellStyle name="千分位 2 2 2" xfId="15" xr:uid="{0A27585A-0BD8-4337-AB88-9C4810BCD821}"/>
    <cellStyle name="千分位 2 2 2 2" xfId="24" xr:uid="{966C6FD1-A0A0-4290-BDFC-57D3E39C987E}"/>
    <cellStyle name="千分位 2 2 3" xfId="21" xr:uid="{DA3E1F02-1E65-4F53-8BD2-96C455F0208F}"/>
    <cellStyle name="千分位 2 3" xfId="11" xr:uid="{3A10886E-CAB1-4591-A78A-8802DF6F7453}"/>
    <cellStyle name="千分位 2 3 2" xfId="23" xr:uid="{7670EA5D-320B-4681-8AF8-E818F4643F62}"/>
    <cellStyle name="千分位 2 4" xfId="17" xr:uid="{EC529427-D3BB-4894-BCEA-D80097737992}"/>
    <cellStyle name="千分位 3" xfId="6" xr:uid="{00000000-0005-0000-0000-000006000000}"/>
    <cellStyle name="千分位 3 2" xfId="18" xr:uid="{B6405033-E2BC-4F30-B4C4-1844B025DF42}"/>
    <cellStyle name="千分位 4" xfId="20" xr:uid="{8DF142CA-83C5-4146-AC6E-B62329E58FDA}"/>
    <cellStyle name="千分位[0] 2" xfId="2" xr:uid="{00000000-0005-0000-0000-000007000000}"/>
    <cellStyle name="千分位[0] 2 2" xfId="10" xr:uid="{BAD4987A-3B66-48F7-9EEA-54A410582B75}"/>
    <cellStyle name="千分位[0] 2 2 2" xfId="22" xr:uid="{DB49AD7B-BC2A-4EA0-AC38-FB0F75E6DEE8}"/>
    <cellStyle name="千分位[0] 2 3" xfId="16" xr:uid="{1DC139FF-7E7E-4B52-9CAA-BCDCDD21978B}"/>
    <cellStyle name="千分位[0] 3" xfId="7" xr:uid="{00000000-0005-0000-0000-000008000000}"/>
    <cellStyle name="千分位[0] 3 2" xfId="19" xr:uid="{1994C1A5-AAB7-4C77-8C7F-2EE750CA9D2B}"/>
    <cellStyle name="百分比 2" xfId="13" xr:uid="{60577D5F-426A-438B-8DF5-0DA25C83CF3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AN313"/>
  <sheetViews>
    <sheetView tabSelected="1" topLeftCell="D1" zoomScale="90" zoomScaleNormal="90" workbookViewId="0">
      <pane ySplit="3" topLeftCell="A71" activePane="bottomLeft" state="frozen"/>
      <selection pane="bottomLeft" activeCell="O81" sqref="O81"/>
    </sheetView>
  </sheetViews>
  <sheetFormatPr defaultColWidth="10" defaultRowHeight="16.2" outlineLevelCol="1"/>
  <cols>
    <col min="1" max="1" width="6.88671875" style="1" customWidth="1"/>
    <col min="2" max="2" width="16.88671875" style="1" customWidth="1"/>
    <col min="3" max="3" width="72.21875" style="15" customWidth="1"/>
    <col min="4" max="4" width="24.109375" style="1" customWidth="1"/>
    <col min="5" max="5" width="6.6640625" style="11" customWidth="1"/>
    <col min="6" max="6" width="12.44140625" style="1" customWidth="1"/>
    <col min="7" max="7" width="11.6640625" style="5" customWidth="1"/>
    <col min="8" max="8" width="11.6640625" style="5" customWidth="1" outlineLevel="1"/>
    <col min="9" max="9" width="10.109375" style="5" customWidth="1" outlineLevel="1"/>
    <col min="10" max="10" width="10.109375" style="1" customWidth="1" outlineLevel="1"/>
    <col min="11" max="15" width="10" style="1" customWidth="1" outlineLevel="1"/>
    <col min="16" max="16" width="10" style="1" customWidth="1" outlineLevel="1" collapsed="1"/>
    <col min="17" max="17" width="10" style="1" customWidth="1" outlineLevel="1"/>
    <col min="18" max="18" width="10" style="1"/>
    <col min="19" max="25" width="10" style="1" customWidth="1" outlineLevel="1"/>
    <col min="26" max="37" width="10" style="1" customWidth="1"/>
    <col min="38" max="216" width="10" style="1"/>
    <col min="217" max="217" width="6.109375" style="1" customWidth="1"/>
    <col min="218" max="218" width="12.6640625" style="1" customWidth="1"/>
    <col min="219" max="219" width="15.6640625" style="1" customWidth="1"/>
    <col min="220" max="220" width="17.6640625" style="1" customWidth="1"/>
    <col min="221" max="221" width="9.88671875" style="1" customWidth="1"/>
    <col min="222" max="222" width="7.109375" style="1" customWidth="1"/>
    <col min="223" max="223" width="8.88671875" style="1" customWidth="1"/>
    <col min="224" max="224" width="10.88671875" style="1" customWidth="1"/>
    <col min="225" max="225" width="8" style="1" customWidth="1"/>
    <col min="226" max="227" width="10" style="1" customWidth="1"/>
    <col min="228" max="228" width="12.88671875" style="1" customWidth="1"/>
    <col min="229" max="229" width="13.44140625" style="1" customWidth="1"/>
    <col min="230" max="472" width="10" style="1"/>
    <col min="473" max="473" width="6.109375" style="1" customWidth="1"/>
    <col min="474" max="474" width="12.6640625" style="1" customWidth="1"/>
    <col min="475" max="475" width="15.6640625" style="1" customWidth="1"/>
    <col min="476" max="476" width="17.6640625" style="1" customWidth="1"/>
    <col min="477" max="477" width="9.88671875" style="1" customWidth="1"/>
    <col min="478" max="478" width="7.109375" style="1" customWidth="1"/>
    <col min="479" max="479" width="8.88671875" style="1" customWidth="1"/>
    <col min="480" max="480" width="10.88671875" style="1" customWidth="1"/>
    <col min="481" max="481" width="8" style="1" customWidth="1"/>
    <col min="482" max="483" width="10" style="1" customWidth="1"/>
    <col min="484" max="484" width="12.88671875" style="1" customWidth="1"/>
    <col min="485" max="485" width="13.44140625" style="1" customWidth="1"/>
    <col min="486" max="728" width="10" style="1"/>
    <col min="729" max="729" width="6.109375" style="1" customWidth="1"/>
    <col min="730" max="730" width="12.6640625" style="1" customWidth="1"/>
    <col min="731" max="731" width="15.6640625" style="1" customWidth="1"/>
    <col min="732" max="732" width="17.6640625" style="1" customWidth="1"/>
    <col min="733" max="733" width="9.88671875" style="1" customWidth="1"/>
    <col min="734" max="734" width="7.109375" style="1" customWidth="1"/>
    <col min="735" max="735" width="8.88671875" style="1" customWidth="1"/>
    <col min="736" max="736" width="10.88671875" style="1" customWidth="1"/>
    <col min="737" max="737" width="8" style="1" customWidth="1"/>
    <col min="738" max="739" width="10" style="1" customWidth="1"/>
    <col min="740" max="740" width="12.88671875" style="1" customWidth="1"/>
    <col min="741" max="741" width="13.44140625" style="1" customWidth="1"/>
    <col min="742" max="984" width="10" style="1"/>
    <col min="985" max="985" width="6.109375" style="1" customWidth="1"/>
    <col min="986" max="986" width="12.6640625" style="1" customWidth="1"/>
    <col min="987" max="987" width="15.6640625" style="1" customWidth="1"/>
    <col min="988" max="988" width="17.6640625" style="1" customWidth="1"/>
    <col min="989" max="989" width="9.88671875" style="1" customWidth="1"/>
    <col min="990" max="990" width="7.109375" style="1" customWidth="1"/>
    <col min="991" max="991" width="8.88671875" style="1" customWidth="1"/>
    <col min="992" max="992" width="10.88671875" style="1" customWidth="1"/>
    <col min="993" max="993" width="8" style="1" customWidth="1"/>
    <col min="994" max="995" width="10" style="1" customWidth="1"/>
    <col min="996" max="996" width="12.88671875" style="1" customWidth="1"/>
    <col min="997" max="997" width="13.44140625" style="1" customWidth="1"/>
    <col min="998" max="1240" width="10" style="1"/>
    <col min="1241" max="1241" width="6.109375" style="1" customWidth="1"/>
    <col min="1242" max="1242" width="12.6640625" style="1" customWidth="1"/>
    <col min="1243" max="1243" width="15.6640625" style="1" customWidth="1"/>
    <col min="1244" max="1244" width="17.6640625" style="1" customWidth="1"/>
    <col min="1245" max="1245" width="9.88671875" style="1" customWidth="1"/>
    <col min="1246" max="1246" width="7.109375" style="1" customWidth="1"/>
    <col min="1247" max="1247" width="8.88671875" style="1" customWidth="1"/>
    <col min="1248" max="1248" width="10.88671875" style="1" customWidth="1"/>
    <col min="1249" max="1249" width="8" style="1" customWidth="1"/>
    <col min="1250" max="1251" width="10" style="1" customWidth="1"/>
    <col min="1252" max="1252" width="12.88671875" style="1" customWidth="1"/>
    <col min="1253" max="1253" width="13.44140625" style="1" customWidth="1"/>
    <col min="1254" max="1496" width="10" style="1"/>
    <col min="1497" max="1497" width="6.109375" style="1" customWidth="1"/>
    <col min="1498" max="1498" width="12.6640625" style="1" customWidth="1"/>
    <col min="1499" max="1499" width="15.6640625" style="1" customWidth="1"/>
    <col min="1500" max="1500" width="17.6640625" style="1" customWidth="1"/>
    <col min="1501" max="1501" width="9.88671875" style="1" customWidth="1"/>
    <col min="1502" max="1502" width="7.109375" style="1" customWidth="1"/>
    <col min="1503" max="1503" width="8.88671875" style="1" customWidth="1"/>
    <col min="1504" max="1504" width="10.88671875" style="1" customWidth="1"/>
    <col min="1505" max="1505" width="8" style="1" customWidth="1"/>
    <col min="1506" max="1507" width="10" style="1" customWidth="1"/>
    <col min="1508" max="1508" width="12.88671875" style="1" customWidth="1"/>
    <col min="1509" max="1509" width="13.44140625" style="1" customWidth="1"/>
    <col min="1510" max="1752" width="10" style="1"/>
    <col min="1753" max="1753" width="6.109375" style="1" customWidth="1"/>
    <col min="1754" max="1754" width="12.6640625" style="1" customWidth="1"/>
    <col min="1755" max="1755" width="15.6640625" style="1" customWidth="1"/>
    <col min="1756" max="1756" width="17.6640625" style="1" customWidth="1"/>
    <col min="1757" max="1757" width="9.88671875" style="1" customWidth="1"/>
    <col min="1758" max="1758" width="7.109375" style="1" customWidth="1"/>
    <col min="1759" max="1759" width="8.88671875" style="1" customWidth="1"/>
    <col min="1760" max="1760" width="10.88671875" style="1" customWidth="1"/>
    <col min="1761" max="1761" width="8" style="1" customWidth="1"/>
    <col min="1762" max="1763" width="10" style="1" customWidth="1"/>
    <col min="1764" max="1764" width="12.88671875" style="1" customWidth="1"/>
    <col min="1765" max="1765" width="13.44140625" style="1" customWidth="1"/>
    <col min="1766" max="2008" width="10" style="1"/>
    <col min="2009" max="2009" width="6.109375" style="1" customWidth="1"/>
    <col min="2010" max="2010" width="12.6640625" style="1" customWidth="1"/>
    <col min="2011" max="2011" width="15.6640625" style="1" customWidth="1"/>
    <col min="2012" max="2012" width="17.6640625" style="1" customWidth="1"/>
    <col min="2013" max="2013" width="9.88671875" style="1" customWidth="1"/>
    <col min="2014" max="2014" width="7.109375" style="1" customWidth="1"/>
    <col min="2015" max="2015" width="8.88671875" style="1" customWidth="1"/>
    <col min="2016" max="2016" width="10.88671875" style="1" customWidth="1"/>
    <col min="2017" max="2017" width="8" style="1" customWidth="1"/>
    <col min="2018" max="2019" width="10" style="1" customWidth="1"/>
    <col min="2020" max="2020" width="12.88671875" style="1" customWidth="1"/>
    <col min="2021" max="2021" width="13.44140625" style="1" customWidth="1"/>
    <col min="2022" max="2264" width="10" style="1"/>
    <col min="2265" max="2265" width="6.109375" style="1" customWidth="1"/>
    <col min="2266" max="2266" width="12.6640625" style="1" customWidth="1"/>
    <col min="2267" max="2267" width="15.6640625" style="1" customWidth="1"/>
    <col min="2268" max="2268" width="17.6640625" style="1" customWidth="1"/>
    <col min="2269" max="2269" width="9.88671875" style="1" customWidth="1"/>
    <col min="2270" max="2270" width="7.109375" style="1" customWidth="1"/>
    <col min="2271" max="2271" width="8.88671875" style="1" customWidth="1"/>
    <col min="2272" max="2272" width="10.88671875" style="1" customWidth="1"/>
    <col min="2273" max="2273" width="8" style="1" customWidth="1"/>
    <col min="2274" max="2275" width="10" style="1" customWidth="1"/>
    <col min="2276" max="2276" width="12.88671875" style="1" customWidth="1"/>
    <col min="2277" max="2277" width="13.44140625" style="1" customWidth="1"/>
    <col min="2278" max="2520" width="10" style="1"/>
    <col min="2521" max="2521" width="6.109375" style="1" customWidth="1"/>
    <col min="2522" max="2522" width="12.6640625" style="1" customWidth="1"/>
    <col min="2523" max="2523" width="15.6640625" style="1" customWidth="1"/>
    <col min="2524" max="2524" width="17.6640625" style="1" customWidth="1"/>
    <col min="2525" max="2525" width="9.88671875" style="1" customWidth="1"/>
    <col min="2526" max="2526" width="7.109375" style="1" customWidth="1"/>
    <col min="2527" max="2527" width="8.88671875" style="1" customWidth="1"/>
    <col min="2528" max="2528" width="10.88671875" style="1" customWidth="1"/>
    <col min="2529" max="2529" width="8" style="1" customWidth="1"/>
    <col min="2530" max="2531" width="10" style="1" customWidth="1"/>
    <col min="2532" max="2532" width="12.88671875" style="1" customWidth="1"/>
    <col min="2533" max="2533" width="13.44140625" style="1" customWidth="1"/>
    <col min="2534" max="2776" width="10" style="1"/>
    <col min="2777" max="2777" width="6.109375" style="1" customWidth="1"/>
    <col min="2778" max="2778" width="12.6640625" style="1" customWidth="1"/>
    <col min="2779" max="2779" width="15.6640625" style="1" customWidth="1"/>
    <col min="2780" max="2780" width="17.6640625" style="1" customWidth="1"/>
    <col min="2781" max="2781" width="9.88671875" style="1" customWidth="1"/>
    <col min="2782" max="2782" width="7.109375" style="1" customWidth="1"/>
    <col min="2783" max="2783" width="8.88671875" style="1" customWidth="1"/>
    <col min="2784" max="2784" width="10.88671875" style="1" customWidth="1"/>
    <col min="2785" max="2785" width="8" style="1" customWidth="1"/>
    <col min="2786" max="2787" width="10" style="1" customWidth="1"/>
    <col min="2788" max="2788" width="12.88671875" style="1" customWidth="1"/>
    <col min="2789" max="2789" width="13.44140625" style="1" customWidth="1"/>
    <col min="2790" max="3032" width="10" style="1"/>
    <col min="3033" max="3033" width="6.109375" style="1" customWidth="1"/>
    <col min="3034" max="3034" width="12.6640625" style="1" customWidth="1"/>
    <col min="3035" max="3035" width="15.6640625" style="1" customWidth="1"/>
    <col min="3036" max="3036" width="17.6640625" style="1" customWidth="1"/>
    <col min="3037" max="3037" width="9.88671875" style="1" customWidth="1"/>
    <col min="3038" max="3038" width="7.109375" style="1" customWidth="1"/>
    <col min="3039" max="3039" width="8.88671875" style="1" customWidth="1"/>
    <col min="3040" max="3040" width="10.88671875" style="1" customWidth="1"/>
    <col min="3041" max="3041" width="8" style="1" customWidth="1"/>
    <col min="3042" max="3043" width="10" style="1" customWidth="1"/>
    <col min="3044" max="3044" width="12.88671875" style="1" customWidth="1"/>
    <col min="3045" max="3045" width="13.44140625" style="1" customWidth="1"/>
    <col min="3046" max="3288" width="10" style="1"/>
    <col min="3289" max="3289" width="6.109375" style="1" customWidth="1"/>
    <col min="3290" max="3290" width="12.6640625" style="1" customWidth="1"/>
    <col min="3291" max="3291" width="15.6640625" style="1" customWidth="1"/>
    <col min="3292" max="3292" width="17.6640625" style="1" customWidth="1"/>
    <col min="3293" max="3293" width="9.88671875" style="1" customWidth="1"/>
    <col min="3294" max="3294" width="7.109375" style="1" customWidth="1"/>
    <col min="3295" max="3295" width="8.88671875" style="1" customWidth="1"/>
    <col min="3296" max="3296" width="10.88671875" style="1" customWidth="1"/>
    <col min="3297" max="3297" width="8" style="1" customWidth="1"/>
    <col min="3298" max="3299" width="10" style="1" customWidth="1"/>
    <col min="3300" max="3300" width="12.88671875" style="1" customWidth="1"/>
    <col min="3301" max="3301" width="13.44140625" style="1" customWidth="1"/>
    <col min="3302" max="3544" width="10" style="1"/>
    <col min="3545" max="3545" width="6.109375" style="1" customWidth="1"/>
    <col min="3546" max="3546" width="12.6640625" style="1" customWidth="1"/>
    <col min="3547" max="3547" width="15.6640625" style="1" customWidth="1"/>
    <col min="3548" max="3548" width="17.6640625" style="1" customWidth="1"/>
    <col min="3549" max="3549" width="9.88671875" style="1" customWidth="1"/>
    <col min="3550" max="3550" width="7.109375" style="1" customWidth="1"/>
    <col min="3551" max="3551" width="8.88671875" style="1" customWidth="1"/>
    <col min="3552" max="3552" width="10.88671875" style="1" customWidth="1"/>
    <col min="3553" max="3553" width="8" style="1" customWidth="1"/>
    <col min="3554" max="3555" width="10" style="1" customWidth="1"/>
    <col min="3556" max="3556" width="12.88671875" style="1" customWidth="1"/>
    <col min="3557" max="3557" width="13.44140625" style="1" customWidth="1"/>
    <col min="3558" max="3800" width="10" style="1"/>
    <col min="3801" max="3801" width="6.109375" style="1" customWidth="1"/>
    <col min="3802" max="3802" width="12.6640625" style="1" customWidth="1"/>
    <col min="3803" max="3803" width="15.6640625" style="1" customWidth="1"/>
    <col min="3804" max="3804" width="17.6640625" style="1" customWidth="1"/>
    <col min="3805" max="3805" width="9.88671875" style="1" customWidth="1"/>
    <col min="3806" max="3806" width="7.109375" style="1" customWidth="1"/>
    <col min="3807" max="3807" width="8.88671875" style="1" customWidth="1"/>
    <col min="3808" max="3808" width="10.88671875" style="1" customWidth="1"/>
    <col min="3809" max="3809" width="8" style="1" customWidth="1"/>
    <col min="3810" max="3811" width="10" style="1" customWidth="1"/>
    <col min="3812" max="3812" width="12.88671875" style="1" customWidth="1"/>
    <col min="3813" max="3813" width="13.44140625" style="1" customWidth="1"/>
    <col min="3814" max="4056" width="10" style="1"/>
    <col min="4057" max="4057" width="6.109375" style="1" customWidth="1"/>
    <col min="4058" max="4058" width="12.6640625" style="1" customWidth="1"/>
    <col min="4059" max="4059" width="15.6640625" style="1" customWidth="1"/>
    <col min="4060" max="4060" width="17.6640625" style="1" customWidth="1"/>
    <col min="4061" max="4061" width="9.88671875" style="1" customWidth="1"/>
    <col min="4062" max="4062" width="7.109375" style="1" customWidth="1"/>
    <col min="4063" max="4063" width="8.88671875" style="1" customWidth="1"/>
    <col min="4064" max="4064" width="10.88671875" style="1" customWidth="1"/>
    <col min="4065" max="4065" width="8" style="1" customWidth="1"/>
    <col min="4066" max="4067" width="10" style="1" customWidth="1"/>
    <col min="4068" max="4068" width="12.88671875" style="1" customWidth="1"/>
    <col min="4069" max="4069" width="13.44140625" style="1" customWidth="1"/>
    <col min="4070" max="4312" width="10" style="1"/>
    <col min="4313" max="4313" width="6.109375" style="1" customWidth="1"/>
    <col min="4314" max="4314" width="12.6640625" style="1" customWidth="1"/>
    <col min="4315" max="4315" width="15.6640625" style="1" customWidth="1"/>
    <col min="4316" max="4316" width="17.6640625" style="1" customWidth="1"/>
    <col min="4317" max="4317" width="9.88671875" style="1" customWidth="1"/>
    <col min="4318" max="4318" width="7.109375" style="1" customWidth="1"/>
    <col min="4319" max="4319" width="8.88671875" style="1" customWidth="1"/>
    <col min="4320" max="4320" width="10.88671875" style="1" customWidth="1"/>
    <col min="4321" max="4321" width="8" style="1" customWidth="1"/>
    <col min="4322" max="4323" width="10" style="1" customWidth="1"/>
    <col min="4324" max="4324" width="12.88671875" style="1" customWidth="1"/>
    <col min="4325" max="4325" width="13.44140625" style="1" customWidth="1"/>
    <col min="4326" max="4568" width="10" style="1"/>
    <col min="4569" max="4569" width="6.109375" style="1" customWidth="1"/>
    <col min="4570" max="4570" width="12.6640625" style="1" customWidth="1"/>
    <col min="4571" max="4571" width="15.6640625" style="1" customWidth="1"/>
    <col min="4572" max="4572" width="17.6640625" style="1" customWidth="1"/>
    <col min="4573" max="4573" width="9.88671875" style="1" customWidth="1"/>
    <col min="4574" max="4574" width="7.109375" style="1" customWidth="1"/>
    <col min="4575" max="4575" width="8.88671875" style="1" customWidth="1"/>
    <col min="4576" max="4576" width="10.88671875" style="1" customWidth="1"/>
    <col min="4577" max="4577" width="8" style="1" customWidth="1"/>
    <col min="4578" max="4579" width="10" style="1" customWidth="1"/>
    <col min="4580" max="4580" width="12.88671875" style="1" customWidth="1"/>
    <col min="4581" max="4581" width="13.44140625" style="1" customWidth="1"/>
    <col min="4582" max="4824" width="10" style="1"/>
    <col min="4825" max="4825" width="6.109375" style="1" customWidth="1"/>
    <col min="4826" max="4826" width="12.6640625" style="1" customWidth="1"/>
    <col min="4827" max="4827" width="15.6640625" style="1" customWidth="1"/>
    <col min="4828" max="4828" width="17.6640625" style="1" customWidth="1"/>
    <col min="4829" max="4829" width="9.88671875" style="1" customWidth="1"/>
    <col min="4830" max="4830" width="7.109375" style="1" customWidth="1"/>
    <col min="4831" max="4831" width="8.88671875" style="1" customWidth="1"/>
    <col min="4832" max="4832" width="10.88671875" style="1" customWidth="1"/>
    <col min="4833" max="4833" width="8" style="1" customWidth="1"/>
    <col min="4834" max="4835" width="10" style="1" customWidth="1"/>
    <col min="4836" max="4836" width="12.88671875" style="1" customWidth="1"/>
    <col min="4837" max="4837" width="13.44140625" style="1" customWidth="1"/>
    <col min="4838" max="5080" width="10" style="1"/>
    <col min="5081" max="5081" width="6.109375" style="1" customWidth="1"/>
    <col min="5082" max="5082" width="12.6640625" style="1" customWidth="1"/>
    <col min="5083" max="5083" width="15.6640625" style="1" customWidth="1"/>
    <col min="5084" max="5084" width="17.6640625" style="1" customWidth="1"/>
    <col min="5085" max="5085" width="9.88671875" style="1" customWidth="1"/>
    <col min="5086" max="5086" width="7.109375" style="1" customWidth="1"/>
    <col min="5087" max="5087" width="8.88671875" style="1" customWidth="1"/>
    <col min="5088" max="5088" width="10.88671875" style="1" customWidth="1"/>
    <col min="5089" max="5089" width="8" style="1" customWidth="1"/>
    <col min="5090" max="5091" width="10" style="1" customWidth="1"/>
    <col min="5092" max="5092" width="12.88671875" style="1" customWidth="1"/>
    <col min="5093" max="5093" width="13.44140625" style="1" customWidth="1"/>
    <col min="5094" max="5336" width="10" style="1"/>
    <col min="5337" max="5337" width="6.109375" style="1" customWidth="1"/>
    <col min="5338" max="5338" width="12.6640625" style="1" customWidth="1"/>
    <col min="5339" max="5339" width="15.6640625" style="1" customWidth="1"/>
    <col min="5340" max="5340" width="17.6640625" style="1" customWidth="1"/>
    <col min="5341" max="5341" width="9.88671875" style="1" customWidth="1"/>
    <col min="5342" max="5342" width="7.109375" style="1" customWidth="1"/>
    <col min="5343" max="5343" width="8.88671875" style="1" customWidth="1"/>
    <col min="5344" max="5344" width="10.88671875" style="1" customWidth="1"/>
    <col min="5345" max="5345" width="8" style="1" customWidth="1"/>
    <col min="5346" max="5347" width="10" style="1" customWidth="1"/>
    <col min="5348" max="5348" width="12.88671875" style="1" customWidth="1"/>
    <col min="5349" max="5349" width="13.44140625" style="1" customWidth="1"/>
    <col min="5350" max="5592" width="10" style="1"/>
    <col min="5593" max="5593" width="6.109375" style="1" customWidth="1"/>
    <col min="5594" max="5594" width="12.6640625" style="1" customWidth="1"/>
    <col min="5595" max="5595" width="15.6640625" style="1" customWidth="1"/>
    <col min="5596" max="5596" width="17.6640625" style="1" customWidth="1"/>
    <col min="5597" max="5597" width="9.88671875" style="1" customWidth="1"/>
    <col min="5598" max="5598" width="7.109375" style="1" customWidth="1"/>
    <col min="5599" max="5599" width="8.88671875" style="1" customWidth="1"/>
    <col min="5600" max="5600" width="10.88671875" style="1" customWidth="1"/>
    <col min="5601" max="5601" width="8" style="1" customWidth="1"/>
    <col min="5602" max="5603" width="10" style="1" customWidth="1"/>
    <col min="5604" max="5604" width="12.88671875" style="1" customWidth="1"/>
    <col min="5605" max="5605" width="13.44140625" style="1" customWidth="1"/>
    <col min="5606" max="5848" width="10" style="1"/>
    <col min="5849" max="5849" width="6.109375" style="1" customWidth="1"/>
    <col min="5850" max="5850" width="12.6640625" style="1" customWidth="1"/>
    <col min="5851" max="5851" width="15.6640625" style="1" customWidth="1"/>
    <col min="5852" max="5852" width="17.6640625" style="1" customWidth="1"/>
    <col min="5853" max="5853" width="9.88671875" style="1" customWidth="1"/>
    <col min="5854" max="5854" width="7.109375" style="1" customWidth="1"/>
    <col min="5855" max="5855" width="8.88671875" style="1" customWidth="1"/>
    <col min="5856" max="5856" width="10.88671875" style="1" customWidth="1"/>
    <col min="5857" max="5857" width="8" style="1" customWidth="1"/>
    <col min="5858" max="5859" width="10" style="1" customWidth="1"/>
    <col min="5860" max="5860" width="12.88671875" style="1" customWidth="1"/>
    <col min="5861" max="5861" width="13.44140625" style="1" customWidth="1"/>
    <col min="5862" max="6104" width="10" style="1"/>
    <col min="6105" max="6105" width="6.109375" style="1" customWidth="1"/>
    <col min="6106" max="6106" width="12.6640625" style="1" customWidth="1"/>
    <col min="6107" max="6107" width="15.6640625" style="1" customWidth="1"/>
    <col min="6108" max="6108" width="17.6640625" style="1" customWidth="1"/>
    <col min="6109" max="6109" width="9.88671875" style="1" customWidth="1"/>
    <col min="6110" max="6110" width="7.109375" style="1" customWidth="1"/>
    <col min="6111" max="6111" width="8.88671875" style="1" customWidth="1"/>
    <col min="6112" max="6112" width="10.88671875" style="1" customWidth="1"/>
    <col min="6113" max="6113" width="8" style="1" customWidth="1"/>
    <col min="6114" max="6115" width="10" style="1" customWidth="1"/>
    <col min="6116" max="6116" width="12.88671875" style="1" customWidth="1"/>
    <col min="6117" max="6117" width="13.44140625" style="1" customWidth="1"/>
    <col min="6118" max="6360" width="10" style="1"/>
    <col min="6361" max="6361" width="6.109375" style="1" customWidth="1"/>
    <col min="6362" max="6362" width="12.6640625" style="1" customWidth="1"/>
    <col min="6363" max="6363" width="15.6640625" style="1" customWidth="1"/>
    <col min="6364" max="6364" width="17.6640625" style="1" customWidth="1"/>
    <col min="6365" max="6365" width="9.88671875" style="1" customWidth="1"/>
    <col min="6366" max="6366" width="7.109375" style="1" customWidth="1"/>
    <col min="6367" max="6367" width="8.88671875" style="1" customWidth="1"/>
    <col min="6368" max="6368" width="10.88671875" style="1" customWidth="1"/>
    <col min="6369" max="6369" width="8" style="1" customWidth="1"/>
    <col min="6370" max="6371" width="10" style="1" customWidth="1"/>
    <col min="6372" max="6372" width="12.88671875" style="1" customWidth="1"/>
    <col min="6373" max="6373" width="13.44140625" style="1" customWidth="1"/>
    <col min="6374" max="6616" width="10" style="1"/>
    <col min="6617" max="6617" width="6.109375" style="1" customWidth="1"/>
    <col min="6618" max="6618" width="12.6640625" style="1" customWidth="1"/>
    <col min="6619" max="6619" width="15.6640625" style="1" customWidth="1"/>
    <col min="6620" max="6620" width="17.6640625" style="1" customWidth="1"/>
    <col min="6621" max="6621" width="9.88671875" style="1" customWidth="1"/>
    <col min="6622" max="6622" width="7.109375" style="1" customWidth="1"/>
    <col min="6623" max="6623" width="8.88671875" style="1" customWidth="1"/>
    <col min="6624" max="6624" width="10.88671875" style="1" customWidth="1"/>
    <col min="6625" max="6625" width="8" style="1" customWidth="1"/>
    <col min="6626" max="6627" width="10" style="1" customWidth="1"/>
    <col min="6628" max="6628" width="12.88671875" style="1" customWidth="1"/>
    <col min="6629" max="6629" width="13.44140625" style="1" customWidth="1"/>
    <col min="6630" max="6872" width="10" style="1"/>
    <col min="6873" max="6873" width="6.109375" style="1" customWidth="1"/>
    <col min="6874" max="6874" width="12.6640625" style="1" customWidth="1"/>
    <col min="6875" max="6875" width="15.6640625" style="1" customWidth="1"/>
    <col min="6876" max="6876" width="17.6640625" style="1" customWidth="1"/>
    <col min="6877" max="6877" width="9.88671875" style="1" customWidth="1"/>
    <col min="6878" max="6878" width="7.109375" style="1" customWidth="1"/>
    <col min="6879" max="6879" width="8.88671875" style="1" customWidth="1"/>
    <col min="6880" max="6880" width="10.88671875" style="1" customWidth="1"/>
    <col min="6881" max="6881" width="8" style="1" customWidth="1"/>
    <col min="6882" max="6883" width="10" style="1" customWidth="1"/>
    <col min="6884" max="6884" width="12.88671875" style="1" customWidth="1"/>
    <col min="6885" max="6885" width="13.44140625" style="1" customWidth="1"/>
    <col min="6886" max="7128" width="10" style="1"/>
    <col min="7129" max="7129" width="6.109375" style="1" customWidth="1"/>
    <col min="7130" max="7130" width="12.6640625" style="1" customWidth="1"/>
    <col min="7131" max="7131" width="15.6640625" style="1" customWidth="1"/>
    <col min="7132" max="7132" width="17.6640625" style="1" customWidth="1"/>
    <col min="7133" max="7133" width="9.88671875" style="1" customWidth="1"/>
    <col min="7134" max="7134" width="7.109375" style="1" customWidth="1"/>
    <col min="7135" max="7135" width="8.88671875" style="1" customWidth="1"/>
    <col min="7136" max="7136" width="10.88671875" style="1" customWidth="1"/>
    <col min="7137" max="7137" width="8" style="1" customWidth="1"/>
    <col min="7138" max="7139" width="10" style="1" customWidth="1"/>
    <col min="7140" max="7140" width="12.88671875" style="1" customWidth="1"/>
    <col min="7141" max="7141" width="13.44140625" style="1" customWidth="1"/>
    <col min="7142" max="7384" width="10" style="1"/>
    <col min="7385" max="7385" width="6.109375" style="1" customWidth="1"/>
    <col min="7386" max="7386" width="12.6640625" style="1" customWidth="1"/>
    <col min="7387" max="7387" width="15.6640625" style="1" customWidth="1"/>
    <col min="7388" max="7388" width="17.6640625" style="1" customWidth="1"/>
    <col min="7389" max="7389" width="9.88671875" style="1" customWidth="1"/>
    <col min="7390" max="7390" width="7.109375" style="1" customWidth="1"/>
    <col min="7391" max="7391" width="8.88671875" style="1" customWidth="1"/>
    <col min="7392" max="7392" width="10.88671875" style="1" customWidth="1"/>
    <col min="7393" max="7393" width="8" style="1" customWidth="1"/>
    <col min="7394" max="7395" width="10" style="1" customWidth="1"/>
    <col min="7396" max="7396" width="12.88671875" style="1" customWidth="1"/>
    <col min="7397" max="7397" width="13.44140625" style="1" customWidth="1"/>
    <col min="7398" max="7640" width="10" style="1"/>
    <col min="7641" max="7641" width="6.109375" style="1" customWidth="1"/>
    <col min="7642" max="7642" width="12.6640625" style="1" customWidth="1"/>
    <col min="7643" max="7643" width="15.6640625" style="1" customWidth="1"/>
    <col min="7644" max="7644" width="17.6640625" style="1" customWidth="1"/>
    <col min="7645" max="7645" width="9.88671875" style="1" customWidth="1"/>
    <col min="7646" max="7646" width="7.109375" style="1" customWidth="1"/>
    <col min="7647" max="7647" width="8.88671875" style="1" customWidth="1"/>
    <col min="7648" max="7648" width="10.88671875" style="1" customWidth="1"/>
    <col min="7649" max="7649" width="8" style="1" customWidth="1"/>
    <col min="7650" max="7651" width="10" style="1" customWidth="1"/>
    <col min="7652" max="7652" width="12.88671875" style="1" customWidth="1"/>
    <col min="7653" max="7653" width="13.44140625" style="1" customWidth="1"/>
    <col min="7654" max="7896" width="10" style="1"/>
    <col min="7897" max="7897" width="6.109375" style="1" customWidth="1"/>
    <col min="7898" max="7898" width="12.6640625" style="1" customWidth="1"/>
    <col min="7899" max="7899" width="15.6640625" style="1" customWidth="1"/>
    <col min="7900" max="7900" width="17.6640625" style="1" customWidth="1"/>
    <col min="7901" max="7901" width="9.88671875" style="1" customWidth="1"/>
    <col min="7902" max="7902" width="7.109375" style="1" customWidth="1"/>
    <col min="7903" max="7903" width="8.88671875" style="1" customWidth="1"/>
    <col min="7904" max="7904" width="10.88671875" style="1" customWidth="1"/>
    <col min="7905" max="7905" width="8" style="1" customWidth="1"/>
    <col min="7906" max="7907" width="10" style="1" customWidth="1"/>
    <col min="7908" max="7908" width="12.88671875" style="1" customWidth="1"/>
    <col min="7909" max="7909" width="13.44140625" style="1" customWidth="1"/>
    <col min="7910" max="8152" width="10" style="1"/>
    <col min="8153" max="8153" width="6.109375" style="1" customWidth="1"/>
    <col min="8154" max="8154" width="12.6640625" style="1" customWidth="1"/>
    <col min="8155" max="8155" width="15.6640625" style="1" customWidth="1"/>
    <col min="8156" max="8156" width="17.6640625" style="1" customWidth="1"/>
    <col min="8157" max="8157" width="9.88671875" style="1" customWidth="1"/>
    <col min="8158" max="8158" width="7.109375" style="1" customWidth="1"/>
    <col min="8159" max="8159" width="8.88671875" style="1" customWidth="1"/>
    <col min="8160" max="8160" width="10.88671875" style="1" customWidth="1"/>
    <col min="8161" max="8161" width="8" style="1" customWidth="1"/>
    <col min="8162" max="8163" width="10" style="1" customWidth="1"/>
    <col min="8164" max="8164" width="12.88671875" style="1" customWidth="1"/>
    <col min="8165" max="8165" width="13.44140625" style="1" customWidth="1"/>
    <col min="8166" max="8408" width="10" style="1"/>
    <col min="8409" max="8409" width="6.109375" style="1" customWidth="1"/>
    <col min="8410" max="8410" width="12.6640625" style="1" customWidth="1"/>
    <col min="8411" max="8411" width="15.6640625" style="1" customWidth="1"/>
    <col min="8412" max="8412" width="17.6640625" style="1" customWidth="1"/>
    <col min="8413" max="8413" width="9.88671875" style="1" customWidth="1"/>
    <col min="8414" max="8414" width="7.109375" style="1" customWidth="1"/>
    <col min="8415" max="8415" width="8.88671875" style="1" customWidth="1"/>
    <col min="8416" max="8416" width="10.88671875" style="1" customWidth="1"/>
    <col min="8417" max="8417" width="8" style="1" customWidth="1"/>
    <col min="8418" max="8419" width="10" style="1" customWidth="1"/>
    <col min="8420" max="8420" width="12.88671875" style="1" customWidth="1"/>
    <col min="8421" max="8421" width="13.44140625" style="1" customWidth="1"/>
    <col min="8422" max="8664" width="10" style="1"/>
    <col min="8665" max="8665" width="6.109375" style="1" customWidth="1"/>
    <col min="8666" max="8666" width="12.6640625" style="1" customWidth="1"/>
    <col min="8667" max="8667" width="15.6640625" style="1" customWidth="1"/>
    <col min="8668" max="8668" width="17.6640625" style="1" customWidth="1"/>
    <col min="8669" max="8669" width="9.88671875" style="1" customWidth="1"/>
    <col min="8670" max="8670" width="7.109375" style="1" customWidth="1"/>
    <col min="8671" max="8671" width="8.88671875" style="1" customWidth="1"/>
    <col min="8672" max="8672" width="10.88671875" style="1" customWidth="1"/>
    <col min="8673" max="8673" width="8" style="1" customWidth="1"/>
    <col min="8674" max="8675" width="10" style="1" customWidth="1"/>
    <col min="8676" max="8676" width="12.88671875" style="1" customWidth="1"/>
    <col min="8677" max="8677" width="13.44140625" style="1" customWidth="1"/>
    <col min="8678" max="8920" width="10" style="1"/>
    <col min="8921" max="8921" width="6.109375" style="1" customWidth="1"/>
    <col min="8922" max="8922" width="12.6640625" style="1" customWidth="1"/>
    <col min="8923" max="8923" width="15.6640625" style="1" customWidth="1"/>
    <col min="8924" max="8924" width="17.6640625" style="1" customWidth="1"/>
    <col min="8925" max="8925" width="9.88671875" style="1" customWidth="1"/>
    <col min="8926" max="8926" width="7.109375" style="1" customWidth="1"/>
    <col min="8927" max="8927" width="8.88671875" style="1" customWidth="1"/>
    <col min="8928" max="8928" width="10.88671875" style="1" customWidth="1"/>
    <col min="8929" max="8929" width="8" style="1" customWidth="1"/>
    <col min="8930" max="8931" width="10" style="1" customWidth="1"/>
    <col min="8932" max="8932" width="12.88671875" style="1" customWidth="1"/>
    <col min="8933" max="8933" width="13.44140625" style="1" customWidth="1"/>
    <col min="8934" max="9176" width="10" style="1"/>
    <col min="9177" max="9177" width="6.109375" style="1" customWidth="1"/>
    <col min="9178" max="9178" width="12.6640625" style="1" customWidth="1"/>
    <col min="9179" max="9179" width="15.6640625" style="1" customWidth="1"/>
    <col min="9180" max="9180" width="17.6640625" style="1" customWidth="1"/>
    <col min="9181" max="9181" width="9.88671875" style="1" customWidth="1"/>
    <col min="9182" max="9182" width="7.109375" style="1" customWidth="1"/>
    <col min="9183" max="9183" width="8.88671875" style="1" customWidth="1"/>
    <col min="9184" max="9184" width="10.88671875" style="1" customWidth="1"/>
    <col min="9185" max="9185" width="8" style="1" customWidth="1"/>
    <col min="9186" max="9187" width="10" style="1" customWidth="1"/>
    <col min="9188" max="9188" width="12.88671875" style="1" customWidth="1"/>
    <col min="9189" max="9189" width="13.44140625" style="1" customWidth="1"/>
    <col min="9190" max="9432" width="10" style="1"/>
    <col min="9433" max="9433" width="6.109375" style="1" customWidth="1"/>
    <col min="9434" max="9434" width="12.6640625" style="1" customWidth="1"/>
    <col min="9435" max="9435" width="15.6640625" style="1" customWidth="1"/>
    <col min="9436" max="9436" width="17.6640625" style="1" customWidth="1"/>
    <col min="9437" max="9437" width="9.88671875" style="1" customWidth="1"/>
    <col min="9438" max="9438" width="7.109375" style="1" customWidth="1"/>
    <col min="9439" max="9439" width="8.88671875" style="1" customWidth="1"/>
    <col min="9440" max="9440" width="10.88671875" style="1" customWidth="1"/>
    <col min="9441" max="9441" width="8" style="1" customWidth="1"/>
    <col min="9442" max="9443" width="10" style="1" customWidth="1"/>
    <col min="9444" max="9444" width="12.88671875" style="1" customWidth="1"/>
    <col min="9445" max="9445" width="13.44140625" style="1" customWidth="1"/>
    <col min="9446" max="9688" width="10" style="1"/>
    <col min="9689" max="9689" width="6.109375" style="1" customWidth="1"/>
    <col min="9690" max="9690" width="12.6640625" style="1" customWidth="1"/>
    <col min="9691" max="9691" width="15.6640625" style="1" customWidth="1"/>
    <col min="9692" max="9692" width="17.6640625" style="1" customWidth="1"/>
    <col min="9693" max="9693" width="9.88671875" style="1" customWidth="1"/>
    <col min="9694" max="9694" width="7.109375" style="1" customWidth="1"/>
    <col min="9695" max="9695" width="8.88671875" style="1" customWidth="1"/>
    <col min="9696" max="9696" width="10.88671875" style="1" customWidth="1"/>
    <col min="9697" max="9697" width="8" style="1" customWidth="1"/>
    <col min="9698" max="9699" width="10" style="1" customWidth="1"/>
    <col min="9700" max="9700" width="12.88671875" style="1" customWidth="1"/>
    <col min="9701" max="9701" width="13.44140625" style="1" customWidth="1"/>
    <col min="9702" max="9944" width="10" style="1"/>
    <col min="9945" max="9945" width="6.109375" style="1" customWidth="1"/>
    <col min="9946" max="9946" width="12.6640625" style="1" customWidth="1"/>
    <col min="9947" max="9947" width="15.6640625" style="1" customWidth="1"/>
    <col min="9948" max="9948" width="17.6640625" style="1" customWidth="1"/>
    <col min="9949" max="9949" width="9.88671875" style="1" customWidth="1"/>
    <col min="9950" max="9950" width="7.109375" style="1" customWidth="1"/>
    <col min="9951" max="9951" width="8.88671875" style="1" customWidth="1"/>
    <col min="9952" max="9952" width="10.88671875" style="1" customWidth="1"/>
    <col min="9953" max="9953" width="8" style="1" customWidth="1"/>
    <col min="9954" max="9955" width="10" style="1" customWidth="1"/>
    <col min="9956" max="9956" width="12.88671875" style="1" customWidth="1"/>
    <col min="9957" max="9957" width="13.44140625" style="1" customWidth="1"/>
    <col min="9958" max="10200" width="10" style="1"/>
    <col min="10201" max="10201" width="6.109375" style="1" customWidth="1"/>
    <col min="10202" max="10202" width="12.6640625" style="1" customWidth="1"/>
    <col min="10203" max="10203" width="15.6640625" style="1" customWidth="1"/>
    <col min="10204" max="10204" width="17.6640625" style="1" customWidth="1"/>
    <col min="10205" max="10205" width="9.88671875" style="1" customWidth="1"/>
    <col min="10206" max="10206" width="7.109375" style="1" customWidth="1"/>
    <col min="10207" max="10207" width="8.88671875" style="1" customWidth="1"/>
    <col min="10208" max="10208" width="10.88671875" style="1" customWidth="1"/>
    <col min="10209" max="10209" width="8" style="1" customWidth="1"/>
    <col min="10210" max="10211" width="10" style="1" customWidth="1"/>
    <col min="10212" max="10212" width="12.88671875" style="1" customWidth="1"/>
    <col min="10213" max="10213" width="13.44140625" style="1" customWidth="1"/>
    <col min="10214" max="10456" width="10" style="1"/>
    <col min="10457" max="10457" width="6.109375" style="1" customWidth="1"/>
    <col min="10458" max="10458" width="12.6640625" style="1" customWidth="1"/>
    <col min="10459" max="10459" width="15.6640625" style="1" customWidth="1"/>
    <col min="10460" max="10460" width="17.6640625" style="1" customWidth="1"/>
    <col min="10461" max="10461" width="9.88671875" style="1" customWidth="1"/>
    <col min="10462" max="10462" width="7.109375" style="1" customWidth="1"/>
    <col min="10463" max="10463" width="8.88671875" style="1" customWidth="1"/>
    <col min="10464" max="10464" width="10.88671875" style="1" customWidth="1"/>
    <col min="10465" max="10465" width="8" style="1" customWidth="1"/>
    <col min="10466" max="10467" width="10" style="1" customWidth="1"/>
    <col min="10468" max="10468" width="12.88671875" style="1" customWidth="1"/>
    <col min="10469" max="10469" width="13.44140625" style="1" customWidth="1"/>
    <col min="10470" max="10712" width="10" style="1"/>
    <col min="10713" max="10713" width="6.109375" style="1" customWidth="1"/>
    <col min="10714" max="10714" width="12.6640625" style="1" customWidth="1"/>
    <col min="10715" max="10715" width="15.6640625" style="1" customWidth="1"/>
    <col min="10716" max="10716" width="17.6640625" style="1" customWidth="1"/>
    <col min="10717" max="10717" width="9.88671875" style="1" customWidth="1"/>
    <col min="10718" max="10718" width="7.109375" style="1" customWidth="1"/>
    <col min="10719" max="10719" width="8.88671875" style="1" customWidth="1"/>
    <col min="10720" max="10720" width="10.88671875" style="1" customWidth="1"/>
    <col min="10721" max="10721" width="8" style="1" customWidth="1"/>
    <col min="10722" max="10723" width="10" style="1" customWidth="1"/>
    <col min="10724" max="10724" width="12.88671875" style="1" customWidth="1"/>
    <col min="10725" max="10725" width="13.44140625" style="1" customWidth="1"/>
    <col min="10726" max="10968" width="10" style="1"/>
    <col min="10969" max="10969" width="6.109375" style="1" customWidth="1"/>
    <col min="10970" max="10970" width="12.6640625" style="1" customWidth="1"/>
    <col min="10971" max="10971" width="15.6640625" style="1" customWidth="1"/>
    <col min="10972" max="10972" width="17.6640625" style="1" customWidth="1"/>
    <col min="10973" max="10973" width="9.88671875" style="1" customWidth="1"/>
    <col min="10974" max="10974" width="7.109375" style="1" customWidth="1"/>
    <col min="10975" max="10975" width="8.88671875" style="1" customWidth="1"/>
    <col min="10976" max="10976" width="10.88671875" style="1" customWidth="1"/>
    <col min="10977" max="10977" width="8" style="1" customWidth="1"/>
    <col min="10978" max="10979" width="10" style="1" customWidth="1"/>
    <col min="10980" max="10980" width="12.88671875" style="1" customWidth="1"/>
    <col min="10981" max="10981" width="13.44140625" style="1" customWidth="1"/>
    <col min="10982" max="11224" width="10" style="1"/>
    <col min="11225" max="11225" width="6.109375" style="1" customWidth="1"/>
    <col min="11226" max="11226" width="12.6640625" style="1" customWidth="1"/>
    <col min="11227" max="11227" width="15.6640625" style="1" customWidth="1"/>
    <col min="11228" max="11228" width="17.6640625" style="1" customWidth="1"/>
    <col min="11229" max="11229" width="9.88671875" style="1" customWidth="1"/>
    <col min="11230" max="11230" width="7.109375" style="1" customWidth="1"/>
    <col min="11231" max="11231" width="8.88671875" style="1" customWidth="1"/>
    <col min="11232" max="11232" width="10.88671875" style="1" customWidth="1"/>
    <col min="11233" max="11233" width="8" style="1" customWidth="1"/>
    <col min="11234" max="11235" width="10" style="1" customWidth="1"/>
    <col min="11236" max="11236" width="12.88671875" style="1" customWidth="1"/>
    <col min="11237" max="11237" width="13.44140625" style="1" customWidth="1"/>
    <col min="11238" max="11480" width="10" style="1"/>
    <col min="11481" max="11481" width="6.109375" style="1" customWidth="1"/>
    <col min="11482" max="11482" width="12.6640625" style="1" customWidth="1"/>
    <col min="11483" max="11483" width="15.6640625" style="1" customWidth="1"/>
    <col min="11484" max="11484" width="17.6640625" style="1" customWidth="1"/>
    <col min="11485" max="11485" width="9.88671875" style="1" customWidth="1"/>
    <col min="11486" max="11486" width="7.109375" style="1" customWidth="1"/>
    <col min="11487" max="11487" width="8.88671875" style="1" customWidth="1"/>
    <col min="11488" max="11488" width="10.88671875" style="1" customWidth="1"/>
    <col min="11489" max="11489" width="8" style="1" customWidth="1"/>
    <col min="11490" max="11491" width="10" style="1" customWidth="1"/>
    <col min="11492" max="11492" width="12.88671875" style="1" customWidth="1"/>
    <col min="11493" max="11493" width="13.44140625" style="1" customWidth="1"/>
    <col min="11494" max="11736" width="10" style="1"/>
    <col min="11737" max="11737" width="6.109375" style="1" customWidth="1"/>
    <col min="11738" max="11738" width="12.6640625" style="1" customWidth="1"/>
    <col min="11739" max="11739" width="15.6640625" style="1" customWidth="1"/>
    <col min="11740" max="11740" width="17.6640625" style="1" customWidth="1"/>
    <col min="11741" max="11741" width="9.88671875" style="1" customWidth="1"/>
    <col min="11742" max="11742" width="7.109375" style="1" customWidth="1"/>
    <col min="11743" max="11743" width="8.88671875" style="1" customWidth="1"/>
    <col min="11744" max="11744" width="10.88671875" style="1" customWidth="1"/>
    <col min="11745" max="11745" width="8" style="1" customWidth="1"/>
    <col min="11746" max="11747" width="10" style="1" customWidth="1"/>
    <col min="11748" max="11748" width="12.88671875" style="1" customWidth="1"/>
    <col min="11749" max="11749" width="13.44140625" style="1" customWidth="1"/>
    <col min="11750" max="11992" width="10" style="1"/>
    <col min="11993" max="11993" width="6.109375" style="1" customWidth="1"/>
    <col min="11994" max="11994" width="12.6640625" style="1" customWidth="1"/>
    <col min="11995" max="11995" width="15.6640625" style="1" customWidth="1"/>
    <col min="11996" max="11996" width="17.6640625" style="1" customWidth="1"/>
    <col min="11997" max="11997" width="9.88671875" style="1" customWidth="1"/>
    <col min="11998" max="11998" width="7.109375" style="1" customWidth="1"/>
    <col min="11999" max="11999" width="8.88671875" style="1" customWidth="1"/>
    <col min="12000" max="12000" width="10.88671875" style="1" customWidth="1"/>
    <col min="12001" max="12001" width="8" style="1" customWidth="1"/>
    <col min="12002" max="12003" width="10" style="1" customWidth="1"/>
    <col min="12004" max="12004" width="12.88671875" style="1" customWidth="1"/>
    <col min="12005" max="12005" width="13.44140625" style="1" customWidth="1"/>
    <col min="12006" max="12248" width="10" style="1"/>
    <col min="12249" max="12249" width="6.109375" style="1" customWidth="1"/>
    <col min="12250" max="12250" width="12.6640625" style="1" customWidth="1"/>
    <col min="12251" max="12251" width="15.6640625" style="1" customWidth="1"/>
    <col min="12252" max="12252" width="17.6640625" style="1" customWidth="1"/>
    <col min="12253" max="12253" width="9.88671875" style="1" customWidth="1"/>
    <col min="12254" max="12254" width="7.109375" style="1" customWidth="1"/>
    <col min="12255" max="12255" width="8.88671875" style="1" customWidth="1"/>
    <col min="12256" max="12256" width="10.88671875" style="1" customWidth="1"/>
    <col min="12257" max="12257" width="8" style="1" customWidth="1"/>
    <col min="12258" max="12259" width="10" style="1" customWidth="1"/>
    <col min="12260" max="12260" width="12.88671875" style="1" customWidth="1"/>
    <col min="12261" max="12261" width="13.44140625" style="1" customWidth="1"/>
    <col min="12262" max="12504" width="10" style="1"/>
    <col min="12505" max="12505" width="6.109375" style="1" customWidth="1"/>
    <col min="12506" max="12506" width="12.6640625" style="1" customWidth="1"/>
    <col min="12507" max="12507" width="15.6640625" style="1" customWidth="1"/>
    <col min="12508" max="12508" width="17.6640625" style="1" customWidth="1"/>
    <col min="12509" max="12509" width="9.88671875" style="1" customWidth="1"/>
    <col min="12510" max="12510" width="7.109375" style="1" customWidth="1"/>
    <col min="12511" max="12511" width="8.88671875" style="1" customWidth="1"/>
    <col min="12512" max="12512" width="10.88671875" style="1" customWidth="1"/>
    <col min="12513" max="12513" width="8" style="1" customWidth="1"/>
    <col min="12514" max="12515" width="10" style="1" customWidth="1"/>
    <col min="12516" max="12516" width="12.88671875" style="1" customWidth="1"/>
    <col min="12517" max="12517" width="13.44140625" style="1" customWidth="1"/>
    <col min="12518" max="12760" width="10" style="1"/>
    <col min="12761" max="12761" width="6.109375" style="1" customWidth="1"/>
    <col min="12762" max="12762" width="12.6640625" style="1" customWidth="1"/>
    <col min="12763" max="12763" width="15.6640625" style="1" customWidth="1"/>
    <col min="12764" max="12764" width="17.6640625" style="1" customWidth="1"/>
    <col min="12765" max="12765" width="9.88671875" style="1" customWidth="1"/>
    <col min="12766" max="12766" width="7.109375" style="1" customWidth="1"/>
    <col min="12767" max="12767" width="8.88671875" style="1" customWidth="1"/>
    <col min="12768" max="12768" width="10.88671875" style="1" customWidth="1"/>
    <col min="12769" max="12769" width="8" style="1" customWidth="1"/>
    <col min="12770" max="12771" width="10" style="1" customWidth="1"/>
    <col min="12772" max="12772" width="12.88671875" style="1" customWidth="1"/>
    <col min="12773" max="12773" width="13.44140625" style="1" customWidth="1"/>
    <col min="12774" max="13016" width="10" style="1"/>
    <col min="13017" max="13017" width="6.109375" style="1" customWidth="1"/>
    <col min="13018" max="13018" width="12.6640625" style="1" customWidth="1"/>
    <col min="13019" max="13019" width="15.6640625" style="1" customWidth="1"/>
    <col min="13020" max="13020" width="17.6640625" style="1" customWidth="1"/>
    <col min="13021" max="13021" width="9.88671875" style="1" customWidth="1"/>
    <col min="13022" max="13022" width="7.109375" style="1" customWidth="1"/>
    <col min="13023" max="13023" width="8.88671875" style="1" customWidth="1"/>
    <col min="13024" max="13024" width="10.88671875" style="1" customWidth="1"/>
    <col min="13025" max="13025" width="8" style="1" customWidth="1"/>
    <col min="13026" max="13027" width="10" style="1" customWidth="1"/>
    <col min="13028" max="13028" width="12.88671875" style="1" customWidth="1"/>
    <col min="13029" max="13029" width="13.44140625" style="1" customWidth="1"/>
    <col min="13030" max="13272" width="10" style="1"/>
    <col min="13273" max="13273" width="6.109375" style="1" customWidth="1"/>
    <col min="13274" max="13274" width="12.6640625" style="1" customWidth="1"/>
    <col min="13275" max="13275" width="15.6640625" style="1" customWidth="1"/>
    <col min="13276" max="13276" width="17.6640625" style="1" customWidth="1"/>
    <col min="13277" max="13277" width="9.88671875" style="1" customWidth="1"/>
    <col min="13278" max="13278" width="7.109375" style="1" customWidth="1"/>
    <col min="13279" max="13279" width="8.88671875" style="1" customWidth="1"/>
    <col min="13280" max="13280" width="10.88671875" style="1" customWidth="1"/>
    <col min="13281" max="13281" width="8" style="1" customWidth="1"/>
    <col min="13282" max="13283" width="10" style="1" customWidth="1"/>
    <col min="13284" max="13284" width="12.88671875" style="1" customWidth="1"/>
    <col min="13285" max="13285" width="13.44140625" style="1" customWidth="1"/>
    <col min="13286" max="13528" width="10" style="1"/>
    <col min="13529" max="13529" width="6.109375" style="1" customWidth="1"/>
    <col min="13530" max="13530" width="12.6640625" style="1" customWidth="1"/>
    <col min="13531" max="13531" width="15.6640625" style="1" customWidth="1"/>
    <col min="13532" max="13532" width="17.6640625" style="1" customWidth="1"/>
    <col min="13533" max="13533" width="9.88671875" style="1" customWidth="1"/>
    <col min="13534" max="13534" width="7.109375" style="1" customWidth="1"/>
    <col min="13535" max="13535" width="8.88671875" style="1" customWidth="1"/>
    <col min="13536" max="13536" width="10.88671875" style="1" customWidth="1"/>
    <col min="13537" max="13537" width="8" style="1" customWidth="1"/>
    <col min="13538" max="13539" width="10" style="1" customWidth="1"/>
    <col min="13540" max="13540" width="12.88671875" style="1" customWidth="1"/>
    <col min="13541" max="13541" width="13.44140625" style="1" customWidth="1"/>
    <col min="13542" max="13784" width="10" style="1"/>
    <col min="13785" max="13785" width="6.109375" style="1" customWidth="1"/>
    <col min="13786" max="13786" width="12.6640625" style="1" customWidth="1"/>
    <col min="13787" max="13787" width="15.6640625" style="1" customWidth="1"/>
    <col min="13788" max="13788" width="17.6640625" style="1" customWidth="1"/>
    <col min="13789" max="13789" width="9.88671875" style="1" customWidth="1"/>
    <col min="13790" max="13790" width="7.109375" style="1" customWidth="1"/>
    <col min="13791" max="13791" width="8.88671875" style="1" customWidth="1"/>
    <col min="13792" max="13792" width="10.88671875" style="1" customWidth="1"/>
    <col min="13793" max="13793" width="8" style="1" customWidth="1"/>
    <col min="13794" max="13795" width="10" style="1" customWidth="1"/>
    <col min="13796" max="13796" width="12.88671875" style="1" customWidth="1"/>
    <col min="13797" max="13797" width="13.44140625" style="1" customWidth="1"/>
    <col min="13798" max="14040" width="10" style="1"/>
    <col min="14041" max="14041" width="6.109375" style="1" customWidth="1"/>
    <col min="14042" max="14042" width="12.6640625" style="1" customWidth="1"/>
    <col min="14043" max="14043" width="15.6640625" style="1" customWidth="1"/>
    <col min="14044" max="14044" width="17.6640625" style="1" customWidth="1"/>
    <col min="14045" max="14045" width="9.88671875" style="1" customWidth="1"/>
    <col min="14046" max="14046" width="7.109375" style="1" customWidth="1"/>
    <col min="14047" max="14047" width="8.88671875" style="1" customWidth="1"/>
    <col min="14048" max="14048" width="10.88671875" style="1" customWidth="1"/>
    <col min="14049" max="14049" width="8" style="1" customWidth="1"/>
    <col min="14050" max="14051" width="10" style="1" customWidth="1"/>
    <col min="14052" max="14052" width="12.88671875" style="1" customWidth="1"/>
    <col min="14053" max="14053" width="13.44140625" style="1" customWidth="1"/>
    <col min="14054" max="14296" width="10" style="1"/>
    <col min="14297" max="14297" width="6.109375" style="1" customWidth="1"/>
    <col min="14298" max="14298" width="12.6640625" style="1" customWidth="1"/>
    <col min="14299" max="14299" width="15.6640625" style="1" customWidth="1"/>
    <col min="14300" max="14300" width="17.6640625" style="1" customWidth="1"/>
    <col min="14301" max="14301" width="9.88671875" style="1" customWidth="1"/>
    <col min="14302" max="14302" width="7.109375" style="1" customWidth="1"/>
    <col min="14303" max="14303" width="8.88671875" style="1" customWidth="1"/>
    <col min="14304" max="14304" width="10.88671875" style="1" customWidth="1"/>
    <col min="14305" max="14305" width="8" style="1" customWidth="1"/>
    <col min="14306" max="14307" width="10" style="1" customWidth="1"/>
    <col min="14308" max="14308" width="12.88671875" style="1" customWidth="1"/>
    <col min="14309" max="14309" width="13.44140625" style="1" customWidth="1"/>
    <col min="14310" max="14552" width="10" style="1"/>
    <col min="14553" max="14553" width="6.109375" style="1" customWidth="1"/>
    <col min="14554" max="14554" width="12.6640625" style="1" customWidth="1"/>
    <col min="14555" max="14555" width="15.6640625" style="1" customWidth="1"/>
    <col min="14556" max="14556" width="17.6640625" style="1" customWidth="1"/>
    <col min="14557" max="14557" width="9.88671875" style="1" customWidth="1"/>
    <col min="14558" max="14558" width="7.109375" style="1" customWidth="1"/>
    <col min="14559" max="14559" width="8.88671875" style="1" customWidth="1"/>
    <col min="14560" max="14560" width="10.88671875" style="1" customWidth="1"/>
    <col min="14561" max="14561" width="8" style="1" customWidth="1"/>
    <col min="14562" max="14563" width="10" style="1" customWidth="1"/>
    <col min="14564" max="14564" width="12.88671875" style="1" customWidth="1"/>
    <col min="14565" max="14565" width="13.44140625" style="1" customWidth="1"/>
    <col min="14566" max="14808" width="10" style="1"/>
    <col min="14809" max="14809" width="6.109375" style="1" customWidth="1"/>
    <col min="14810" max="14810" width="12.6640625" style="1" customWidth="1"/>
    <col min="14811" max="14811" width="15.6640625" style="1" customWidth="1"/>
    <col min="14812" max="14812" width="17.6640625" style="1" customWidth="1"/>
    <col min="14813" max="14813" width="9.88671875" style="1" customWidth="1"/>
    <col min="14814" max="14814" width="7.109375" style="1" customWidth="1"/>
    <col min="14815" max="14815" width="8.88671875" style="1" customWidth="1"/>
    <col min="14816" max="14816" width="10.88671875" style="1" customWidth="1"/>
    <col min="14817" max="14817" width="8" style="1" customWidth="1"/>
    <col min="14818" max="14819" width="10" style="1" customWidth="1"/>
    <col min="14820" max="14820" width="12.88671875" style="1" customWidth="1"/>
    <col min="14821" max="14821" width="13.44140625" style="1" customWidth="1"/>
    <col min="14822" max="15064" width="10" style="1"/>
    <col min="15065" max="15065" width="6.109375" style="1" customWidth="1"/>
    <col min="15066" max="15066" width="12.6640625" style="1" customWidth="1"/>
    <col min="15067" max="15067" width="15.6640625" style="1" customWidth="1"/>
    <col min="15068" max="15068" width="17.6640625" style="1" customWidth="1"/>
    <col min="15069" max="15069" width="9.88671875" style="1" customWidth="1"/>
    <col min="15070" max="15070" width="7.109375" style="1" customWidth="1"/>
    <col min="15071" max="15071" width="8.88671875" style="1" customWidth="1"/>
    <col min="15072" max="15072" width="10.88671875" style="1" customWidth="1"/>
    <col min="15073" max="15073" width="8" style="1" customWidth="1"/>
    <col min="15074" max="15075" width="10" style="1" customWidth="1"/>
    <col min="15076" max="15076" width="12.88671875" style="1" customWidth="1"/>
    <col min="15077" max="15077" width="13.44140625" style="1" customWidth="1"/>
    <col min="15078" max="15320" width="10" style="1"/>
    <col min="15321" max="15321" width="6.109375" style="1" customWidth="1"/>
    <col min="15322" max="15322" width="12.6640625" style="1" customWidth="1"/>
    <col min="15323" max="15323" width="15.6640625" style="1" customWidth="1"/>
    <col min="15324" max="15324" width="17.6640625" style="1" customWidth="1"/>
    <col min="15325" max="15325" width="9.88671875" style="1" customWidth="1"/>
    <col min="15326" max="15326" width="7.109375" style="1" customWidth="1"/>
    <col min="15327" max="15327" width="8.88671875" style="1" customWidth="1"/>
    <col min="15328" max="15328" width="10.88671875" style="1" customWidth="1"/>
    <col min="15329" max="15329" width="8" style="1" customWidth="1"/>
    <col min="15330" max="15331" width="10" style="1" customWidth="1"/>
    <col min="15332" max="15332" width="12.88671875" style="1" customWidth="1"/>
    <col min="15333" max="15333" width="13.44140625" style="1" customWidth="1"/>
    <col min="15334" max="15576" width="10" style="1"/>
    <col min="15577" max="15577" width="6.109375" style="1" customWidth="1"/>
    <col min="15578" max="15578" width="12.6640625" style="1" customWidth="1"/>
    <col min="15579" max="15579" width="15.6640625" style="1" customWidth="1"/>
    <col min="15580" max="15580" width="17.6640625" style="1" customWidth="1"/>
    <col min="15581" max="15581" width="9.88671875" style="1" customWidth="1"/>
    <col min="15582" max="15582" width="7.109375" style="1" customWidth="1"/>
    <col min="15583" max="15583" width="8.88671875" style="1" customWidth="1"/>
    <col min="15584" max="15584" width="10.88671875" style="1" customWidth="1"/>
    <col min="15585" max="15585" width="8" style="1" customWidth="1"/>
    <col min="15586" max="15587" width="10" style="1" customWidth="1"/>
    <col min="15588" max="15588" width="12.88671875" style="1" customWidth="1"/>
    <col min="15589" max="15589" width="13.44140625" style="1" customWidth="1"/>
    <col min="15590" max="15832" width="10" style="1"/>
    <col min="15833" max="15833" width="6.109375" style="1" customWidth="1"/>
    <col min="15834" max="15834" width="12.6640625" style="1" customWidth="1"/>
    <col min="15835" max="15835" width="15.6640625" style="1" customWidth="1"/>
    <col min="15836" max="15836" width="17.6640625" style="1" customWidth="1"/>
    <col min="15837" max="15837" width="9.88671875" style="1" customWidth="1"/>
    <col min="15838" max="15838" width="7.109375" style="1" customWidth="1"/>
    <col min="15839" max="15839" width="8.88671875" style="1" customWidth="1"/>
    <col min="15840" max="15840" width="10.88671875" style="1" customWidth="1"/>
    <col min="15841" max="15841" width="8" style="1" customWidth="1"/>
    <col min="15842" max="15843" width="10" style="1" customWidth="1"/>
    <col min="15844" max="15844" width="12.88671875" style="1" customWidth="1"/>
    <col min="15845" max="15845" width="13.44140625" style="1" customWidth="1"/>
    <col min="15846" max="16088" width="10" style="1"/>
    <col min="16089" max="16089" width="6.109375" style="1" customWidth="1"/>
    <col min="16090" max="16090" width="12.6640625" style="1" customWidth="1"/>
    <col min="16091" max="16091" width="15.6640625" style="1" customWidth="1"/>
    <col min="16092" max="16092" width="17.6640625" style="1" customWidth="1"/>
    <col min="16093" max="16093" width="9.88671875" style="1" customWidth="1"/>
    <col min="16094" max="16094" width="7.109375" style="1" customWidth="1"/>
    <col min="16095" max="16095" width="8.88671875" style="1" customWidth="1"/>
    <col min="16096" max="16096" width="10.88671875" style="1" customWidth="1"/>
    <col min="16097" max="16097" width="8" style="1" customWidth="1"/>
    <col min="16098" max="16099" width="10" style="1" customWidth="1"/>
    <col min="16100" max="16100" width="12.88671875" style="1" customWidth="1"/>
    <col min="16101" max="16101" width="13.44140625" style="1" customWidth="1"/>
    <col min="16102" max="16384" width="10" style="1"/>
  </cols>
  <sheetData>
    <row r="1" spans="1:40" s="2" customFormat="1" ht="30.6">
      <c r="A1" s="28" t="s">
        <v>338</v>
      </c>
      <c r="B1" s="28"/>
      <c r="C1" s="28"/>
      <c r="D1" s="28"/>
      <c r="E1" s="28"/>
      <c r="F1" s="28"/>
      <c r="G1" s="20"/>
      <c r="H1" s="20"/>
      <c r="I1" s="20"/>
      <c r="J1" s="28"/>
    </row>
    <row r="2" spans="1:40" s="3" customFormat="1">
      <c r="A2" s="72" t="s">
        <v>337</v>
      </c>
      <c r="B2" s="72"/>
      <c r="C2" s="72"/>
      <c r="D2" s="72"/>
      <c r="E2" s="10" t="s">
        <v>336</v>
      </c>
      <c r="F2" s="1"/>
      <c r="G2" s="73" t="s">
        <v>339</v>
      </c>
      <c r="H2" s="73"/>
      <c r="I2" s="73"/>
      <c r="J2" s="73"/>
      <c r="K2" s="73"/>
      <c r="L2" s="73"/>
      <c r="M2" s="73"/>
      <c r="N2" s="73"/>
      <c r="O2" s="73"/>
      <c r="P2" s="73"/>
    </row>
    <row r="3" spans="1:40" s="4" customFormat="1" ht="30">
      <c r="A3" s="58" t="s">
        <v>0</v>
      </c>
      <c r="B3" s="59" t="s">
        <v>3</v>
      </c>
      <c r="C3" s="60" t="s">
        <v>4</v>
      </c>
      <c r="D3" s="59" t="s">
        <v>5</v>
      </c>
      <c r="E3" s="61" t="s">
        <v>1</v>
      </c>
      <c r="F3" s="58" t="s">
        <v>2</v>
      </c>
      <c r="G3" s="41" t="s">
        <v>377</v>
      </c>
      <c r="H3" s="22" t="s">
        <v>325</v>
      </c>
      <c r="I3" s="29" t="s">
        <v>340</v>
      </c>
      <c r="J3" s="29" t="s">
        <v>341</v>
      </c>
      <c r="K3" s="29" t="s">
        <v>406</v>
      </c>
      <c r="L3" s="29" t="s">
        <v>411</v>
      </c>
      <c r="M3" s="29" t="s">
        <v>414</v>
      </c>
      <c r="N3" s="29" t="s">
        <v>415</v>
      </c>
      <c r="O3" s="29" t="s">
        <v>423</v>
      </c>
      <c r="P3" s="29" t="s">
        <v>342</v>
      </c>
      <c r="Q3" s="33" t="s">
        <v>343</v>
      </c>
      <c r="R3" s="42" t="s">
        <v>344</v>
      </c>
      <c r="S3" s="29" t="s">
        <v>345</v>
      </c>
      <c r="T3" s="29" t="s">
        <v>346</v>
      </c>
      <c r="U3" s="29" t="s">
        <v>347</v>
      </c>
      <c r="V3" s="29" t="s">
        <v>349</v>
      </c>
      <c r="W3" s="29" t="s">
        <v>350</v>
      </c>
      <c r="X3" s="29" t="s">
        <v>379</v>
      </c>
      <c r="Y3" s="29" t="s">
        <v>384</v>
      </c>
      <c r="Z3" s="29" t="s">
        <v>385</v>
      </c>
      <c r="AA3" s="29" t="s">
        <v>386</v>
      </c>
      <c r="AB3" s="29" t="s">
        <v>387</v>
      </c>
      <c r="AC3" s="29" t="s">
        <v>388</v>
      </c>
      <c r="AD3" s="29" t="s">
        <v>389</v>
      </c>
      <c r="AE3" s="29" t="s">
        <v>390</v>
      </c>
      <c r="AF3" s="29" t="s">
        <v>391</v>
      </c>
      <c r="AG3" s="29" t="s">
        <v>392</v>
      </c>
      <c r="AH3" s="29" t="s">
        <v>404</v>
      </c>
      <c r="AI3" s="29" t="s">
        <v>405</v>
      </c>
      <c r="AJ3" s="29" t="s">
        <v>409</v>
      </c>
      <c r="AK3" s="29" t="s">
        <v>412</v>
      </c>
      <c r="AL3" s="29" t="s">
        <v>413</v>
      </c>
      <c r="AM3" s="71" t="s">
        <v>422</v>
      </c>
      <c r="AN3" s="71" t="s">
        <v>424</v>
      </c>
    </row>
    <row r="4" spans="1:40" s="3" customFormat="1">
      <c r="A4" s="57">
        <v>1</v>
      </c>
      <c r="B4" s="6" t="s">
        <v>6</v>
      </c>
      <c r="C4" s="13" t="s">
        <v>8</v>
      </c>
      <c r="D4" s="6" t="s">
        <v>9</v>
      </c>
      <c r="E4" s="12" t="s">
        <v>7</v>
      </c>
      <c r="F4" s="7"/>
      <c r="G4" s="21">
        <v>39</v>
      </c>
      <c r="H4" s="21">
        <v>42</v>
      </c>
      <c r="I4" s="21"/>
      <c r="J4" s="27">
        <v>42</v>
      </c>
      <c r="P4" s="30">
        <f>SUM(J4:O4)</f>
        <v>42</v>
      </c>
      <c r="Q4" s="31">
        <f>+R4-P4</f>
        <v>0</v>
      </c>
      <c r="R4" s="32">
        <f>SUM(S4:AD4)</f>
        <v>42</v>
      </c>
      <c r="T4" s="3">
        <v>42</v>
      </c>
      <c r="V4" s="3" t="s">
        <v>348</v>
      </c>
      <c r="W4" s="3" t="s">
        <v>348</v>
      </c>
      <c r="X4" s="3" t="s">
        <v>348</v>
      </c>
      <c r="Y4" s="3" t="s">
        <v>348</v>
      </c>
      <c r="Z4" s="3" t="s">
        <v>348</v>
      </c>
      <c r="AC4" s="3" t="s">
        <v>348</v>
      </c>
      <c r="AF4" s="3" t="s">
        <v>348</v>
      </c>
      <c r="AG4" s="3" t="s">
        <v>348</v>
      </c>
      <c r="AH4" s="3" t="s">
        <v>348</v>
      </c>
      <c r="AI4" s="3" t="s">
        <v>348</v>
      </c>
    </row>
    <row r="5" spans="1:40" s="3" customFormat="1">
      <c r="A5" s="9">
        <v>2</v>
      </c>
      <c r="B5" s="6" t="s">
        <v>6</v>
      </c>
      <c r="C5" s="13" t="s">
        <v>10</v>
      </c>
      <c r="D5" s="6" t="s">
        <v>9</v>
      </c>
      <c r="E5" s="12" t="s">
        <v>7</v>
      </c>
      <c r="F5" s="7"/>
      <c r="G5" s="21">
        <v>1</v>
      </c>
      <c r="H5" s="21">
        <v>6</v>
      </c>
      <c r="I5" s="21">
        <v>6</v>
      </c>
      <c r="J5" s="27">
        <v>0</v>
      </c>
      <c r="P5" s="30">
        <f t="shared" ref="P5:P68" si="0">SUM(J5:O5)</f>
        <v>0</v>
      </c>
      <c r="Q5" s="31">
        <f t="shared" ref="Q5:Q68" si="1">+R5-P5</f>
        <v>0</v>
      </c>
      <c r="R5" s="32">
        <f t="shared" ref="R5:R68" si="2">SUM(S5:FB5)</f>
        <v>0</v>
      </c>
      <c r="V5" s="3" t="s">
        <v>348</v>
      </c>
      <c r="W5" s="3" t="s">
        <v>348</v>
      </c>
      <c r="X5" s="3" t="s">
        <v>348</v>
      </c>
      <c r="Y5" s="3" t="s">
        <v>348</v>
      </c>
      <c r="Z5" s="3" t="s">
        <v>348</v>
      </c>
      <c r="AC5" s="3" t="s">
        <v>348</v>
      </c>
      <c r="AF5" s="3" t="s">
        <v>348</v>
      </c>
      <c r="AG5" s="3" t="s">
        <v>348</v>
      </c>
      <c r="AH5" s="3" t="s">
        <v>348</v>
      </c>
      <c r="AI5" s="3" t="s">
        <v>348</v>
      </c>
    </row>
    <row r="6" spans="1:40" s="3" customFormat="1">
      <c r="A6" s="9">
        <v>3</v>
      </c>
      <c r="B6" s="6" t="s">
        <v>6</v>
      </c>
      <c r="C6" s="13" t="s">
        <v>11</v>
      </c>
      <c r="D6" s="6" t="s">
        <v>9</v>
      </c>
      <c r="E6" s="12" t="s">
        <v>7</v>
      </c>
      <c r="F6" s="7"/>
      <c r="G6" s="21">
        <v>500</v>
      </c>
      <c r="H6" s="21">
        <v>528</v>
      </c>
      <c r="I6" s="21">
        <v>30</v>
      </c>
      <c r="J6" s="39">
        <v>498</v>
      </c>
      <c r="P6" s="30">
        <f t="shared" si="0"/>
        <v>498</v>
      </c>
      <c r="Q6" s="31">
        <f t="shared" si="1"/>
        <v>0</v>
      </c>
      <c r="R6" s="32">
        <f t="shared" si="2"/>
        <v>498</v>
      </c>
      <c r="T6" s="3">
        <v>468</v>
      </c>
      <c r="V6" s="3" t="s">
        <v>348</v>
      </c>
      <c r="W6" s="3" t="s">
        <v>348</v>
      </c>
      <c r="X6" s="3" t="s">
        <v>348</v>
      </c>
      <c r="Y6" s="3" t="s">
        <v>348</v>
      </c>
      <c r="Z6" s="3">
        <v>30</v>
      </c>
      <c r="AC6" s="3" t="s">
        <v>348</v>
      </c>
      <c r="AF6" s="3" t="s">
        <v>348</v>
      </c>
      <c r="AG6" s="3" t="s">
        <v>348</v>
      </c>
      <c r="AH6" s="3" t="s">
        <v>348</v>
      </c>
      <c r="AI6" s="3" t="s">
        <v>348</v>
      </c>
    </row>
    <row r="7" spans="1:40" s="3" customFormat="1">
      <c r="A7" s="9">
        <v>4</v>
      </c>
      <c r="B7" s="6" t="s">
        <v>6</v>
      </c>
      <c r="C7" s="13" t="s">
        <v>12</v>
      </c>
      <c r="D7" s="6" t="s">
        <v>9</v>
      </c>
      <c r="E7" s="12" t="s">
        <v>7</v>
      </c>
      <c r="F7" s="7"/>
      <c r="G7" s="21">
        <v>60</v>
      </c>
      <c r="H7" s="21">
        <v>66</v>
      </c>
      <c r="I7" s="21"/>
      <c r="J7" s="39">
        <v>66</v>
      </c>
      <c r="P7" s="30">
        <f t="shared" si="0"/>
        <v>66</v>
      </c>
      <c r="Q7" s="31">
        <f t="shared" si="1"/>
        <v>0</v>
      </c>
      <c r="R7" s="32">
        <f t="shared" si="2"/>
        <v>66</v>
      </c>
      <c r="T7" s="3">
        <v>48</v>
      </c>
      <c r="V7" s="3" t="s">
        <v>348</v>
      </c>
      <c r="W7" s="3" t="s">
        <v>348</v>
      </c>
      <c r="X7" s="3" t="s">
        <v>348</v>
      </c>
      <c r="Y7" s="3" t="s">
        <v>348</v>
      </c>
      <c r="Z7" s="3">
        <v>18</v>
      </c>
      <c r="AC7" s="3" t="s">
        <v>348</v>
      </c>
      <c r="AF7" s="3" t="s">
        <v>348</v>
      </c>
      <c r="AG7" s="3" t="s">
        <v>348</v>
      </c>
      <c r="AH7" s="3" t="s">
        <v>348</v>
      </c>
      <c r="AI7" s="3" t="s">
        <v>348</v>
      </c>
    </row>
    <row r="8" spans="1:40" s="3" customFormat="1">
      <c r="A8" s="9">
        <v>5</v>
      </c>
      <c r="B8" s="6" t="s">
        <v>6</v>
      </c>
      <c r="C8" s="13" t="s">
        <v>13</v>
      </c>
      <c r="D8" s="6" t="s">
        <v>9</v>
      </c>
      <c r="E8" s="12" t="s">
        <v>7</v>
      </c>
      <c r="F8" s="7"/>
      <c r="G8" s="21">
        <v>470</v>
      </c>
      <c r="H8" s="21">
        <v>498</v>
      </c>
      <c r="I8" s="21"/>
      <c r="J8" s="39">
        <v>498</v>
      </c>
      <c r="P8" s="30">
        <f t="shared" si="0"/>
        <v>498</v>
      </c>
      <c r="Q8" s="31">
        <f t="shared" si="1"/>
        <v>0</v>
      </c>
      <c r="R8" s="32">
        <f t="shared" si="2"/>
        <v>498</v>
      </c>
      <c r="T8" s="3">
        <v>480</v>
      </c>
      <c r="V8" s="3" t="s">
        <v>348</v>
      </c>
      <c r="W8" s="3" t="s">
        <v>348</v>
      </c>
      <c r="X8" s="3" t="s">
        <v>348</v>
      </c>
      <c r="Y8" s="3" t="s">
        <v>348</v>
      </c>
      <c r="Z8" s="3">
        <v>18</v>
      </c>
      <c r="AC8" s="3" t="s">
        <v>348</v>
      </c>
      <c r="AF8" s="3" t="s">
        <v>348</v>
      </c>
      <c r="AG8" s="3" t="s">
        <v>348</v>
      </c>
      <c r="AH8" s="3" t="s">
        <v>348</v>
      </c>
      <c r="AI8" s="3" t="s">
        <v>348</v>
      </c>
    </row>
    <row r="9" spans="1:40" s="3" customFormat="1">
      <c r="A9" s="9">
        <v>6</v>
      </c>
      <c r="B9" s="6" t="s">
        <v>6</v>
      </c>
      <c r="C9" s="13" t="s">
        <v>14</v>
      </c>
      <c r="D9" s="6" t="s">
        <v>9</v>
      </c>
      <c r="E9" s="12" t="s">
        <v>7</v>
      </c>
      <c r="F9" s="7"/>
      <c r="G9" s="21">
        <v>10</v>
      </c>
      <c r="H9" s="21">
        <v>12</v>
      </c>
      <c r="I9" s="21"/>
      <c r="J9" s="27">
        <v>12</v>
      </c>
      <c r="P9" s="30">
        <f t="shared" si="0"/>
        <v>12</v>
      </c>
      <c r="Q9" s="31">
        <f t="shared" si="1"/>
        <v>0</v>
      </c>
      <c r="R9" s="32">
        <f t="shared" si="2"/>
        <v>12</v>
      </c>
      <c r="T9" s="3">
        <v>12</v>
      </c>
      <c r="V9" s="3" t="s">
        <v>348</v>
      </c>
      <c r="W9" s="3" t="s">
        <v>348</v>
      </c>
      <c r="X9" s="3" t="s">
        <v>348</v>
      </c>
      <c r="Y9" s="3" t="s">
        <v>348</v>
      </c>
      <c r="Z9" s="3" t="s">
        <v>348</v>
      </c>
      <c r="AC9" s="3" t="s">
        <v>348</v>
      </c>
      <c r="AF9" s="3" t="s">
        <v>348</v>
      </c>
      <c r="AG9" s="3" t="s">
        <v>348</v>
      </c>
      <c r="AH9" s="3" t="s">
        <v>348</v>
      </c>
      <c r="AI9" s="3" t="s">
        <v>348</v>
      </c>
    </row>
    <row r="10" spans="1:40" s="3" customFormat="1">
      <c r="A10" s="9">
        <v>7</v>
      </c>
      <c r="B10" s="6" t="s">
        <v>6</v>
      </c>
      <c r="C10" s="13" t="s">
        <v>15</v>
      </c>
      <c r="D10" s="6" t="s">
        <v>9</v>
      </c>
      <c r="E10" s="12" t="s">
        <v>7</v>
      </c>
      <c r="F10" s="7"/>
      <c r="G10" s="21">
        <v>315</v>
      </c>
      <c r="H10" s="21">
        <v>318</v>
      </c>
      <c r="I10" s="21">
        <v>6</v>
      </c>
      <c r="J10" s="39">
        <v>330</v>
      </c>
      <c r="P10" s="30">
        <f t="shared" si="0"/>
        <v>330</v>
      </c>
      <c r="Q10" s="31">
        <f t="shared" si="1"/>
        <v>0</v>
      </c>
      <c r="R10" s="32">
        <f t="shared" si="2"/>
        <v>330</v>
      </c>
      <c r="T10" s="3">
        <v>294</v>
      </c>
      <c r="V10" s="3" t="s">
        <v>348</v>
      </c>
      <c r="W10" s="3" t="s">
        <v>348</v>
      </c>
      <c r="X10" s="3" t="s">
        <v>348</v>
      </c>
      <c r="Y10" s="3" t="s">
        <v>348</v>
      </c>
      <c r="Z10" s="3">
        <v>36</v>
      </c>
      <c r="AC10" s="3" t="s">
        <v>348</v>
      </c>
      <c r="AF10" s="3" t="s">
        <v>348</v>
      </c>
      <c r="AG10" s="3" t="s">
        <v>348</v>
      </c>
      <c r="AH10" s="3" t="s">
        <v>348</v>
      </c>
      <c r="AI10" s="3" t="s">
        <v>348</v>
      </c>
    </row>
    <row r="11" spans="1:40" s="3" customFormat="1">
      <c r="A11" s="9">
        <v>8</v>
      </c>
      <c r="B11" s="6" t="s">
        <v>6</v>
      </c>
      <c r="C11" s="13" t="s">
        <v>16</v>
      </c>
      <c r="D11" s="6" t="s">
        <v>9</v>
      </c>
      <c r="E11" s="12" t="s">
        <v>7</v>
      </c>
      <c r="F11" s="7"/>
      <c r="G11" s="21">
        <v>206</v>
      </c>
      <c r="H11" s="21">
        <v>216</v>
      </c>
      <c r="I11" s="21"/>
      <c r="J11" s="27">
        <v>216</v>
      </c>
      <c r="P11" s="30">
        <f t="shared" si="0"/>
        <v>216</v>
      </c>
      <c r="Q11" s="31">
        <f t="shared" si="1"/>
        <v>0</v>
      </c>
      <c r="R11" s="32">
        <f t="shared" si="2"/>
        <v>216</v>
      </c>
      <c r="U11" s="3">
        <v>216</v>
      </c>
      <c r="V11" s="3" t="s">
        <v>348</v>
      </c>
      <c r="W11" s="3" t="s">
        <v>348</v>
      </c>
      <c r="X11" s="3" t="s">
        <v>348</v>
      </c>
      <c r="Y11" s="3" t="s">
        <v>348</v>
      </c>
      <c r="Z11" s="3" t="s">
        <v>348</v>
      </c>
      <c r="AC11" s="3" t="s">
        <v>348</v>
      </c>
      <c r="AF11" s="3" t="s">
        <v>348</v>
      </c>
      <c r="AG11" s="3" t="s">
        <v>348</v>
      </c>
      <c r="AH11" s="3" t="s">
        <v>348</v>
      </c>
      <c r="AI11" s="3" t="s">
        <v>348</v>
      </c>
    </row>
    <row r="12" spans="1:40" s="3" customFormat="1">
      <c r="A12" s="9">
        <v>9</v>
      </c>
      <c r="B12" s="6" t="s">
        <v>6</v>
      </c>
      <c r="C12" s="13" t="s">
        <v>17</v>
      </c>
      <c r="D12" s="6" t="s">
        <v>9</v>
      </c>
      <c r="E12" s="12" t="s">
        <v>7</v>
      </c>
      <c r="F12" s="7"/>
      <c r="G12" s="21">
        <v>20</v>
      </c>
      <c r="H12" s="21">
        <v>24</v>
      </c>
      <c r="I12" s="21"/>
      <c r="J12" s="27">
        <v>24</v>
      </c>
      <c r="P12" s="30">
        <f t="shared" si="0"/>
        <v>24</v>
      </c>
      <c r="Q12" s="31">
        <f t="shared" si="1"/>
        <v>0</v>
      </c>
      <c r="R12" s="32">
        <f t="shared" si="2"/>
        <v>24</v>
      </c>
      <c r="T12" s="3">
        <v>24</v>
      </c>
      <c r="V12" s="3" t="s">
        <v>348</v>
      </c>
      <c r="W12" s="3" t="s">
        <v>348</v>
      </c>
      <c r="X12" s="3" t="s">
        <v>348</v>
      </c>
      <c r="Y12" s="3" t="s">
        <v>348</v>
      </c>
      <c r="Z12" s="3" t="s">
        <v>348</v>
      </c>
      <c r="AC12" s="3" t="s">
        <v>348</v>
      </c>
      <c r="AF12" s="3" t="s">
        <v>348</v>
      </c>
      <c r="AG12" s="3" t="s">
        <v>348</v>
      </c>
      <c r="AH12" s="3" t="s">
        <v>348</v>
      </c>
      <c r="AI12" s="3" t="s">
        <v>348</v>
      </c>
    </row>
    <row r="13" spans="1:40" s="3" customFormat="1">
      <c r="A13" s="9">
        <v>10</v>
      </c>
      <c r="B13" s="6" t="s">
        <v>6</v>
      </c>
      <c r="C13" s="13" t="s">
        <v>18</v>
      </c>
      <c r="D13" s="6" t="s">
        <v>9</v>
      </c>
      <c r="E13" s="12" t="s">
        <v>7</v>
      </c>
      <c r="F13" s="7"/>
      <c r="G13" s="21">
        <v>1</v>
      </c>
      <c r="H13" s="21">
        <v>6</v>
      </c>
      <c r="I13" s="21"/>
      <c r="J13" s="27">
        <v>6</v>
      </c>
      <c r="P13" s="30">
        <f t="shared" si="0"/>
        <v>6</v>
      </c>
      <c r="Q13" s="31">
        <f t="shared" si="1"/>
        <v>0</v>
      </c>
      <c r="R13" s="32">
        <f t="shared" si="2"/>
        <v>6</v>
      </c>
      <c r="U13" s="3">
        <v>6</v>
      </c>
      <c r="V13" s="3" t="s">
        <v>348</v>
      </c>
      <c r="W13" s="3" t="s">
        <v>348</v>
      </c>
      <c r="X13" s="3" t="s">
        <v>348</v>
      </c>
      <c r="Y13" s="3" t="s">
        <v>348</v>
      </c>
      <c r="Z13" s="3" t="s">
        <v>348</v>
      </c>
      <c r="AC13" s="3" t="s">
        <v>348</v>
      </c>
      <c r="AF13" s="3" t="s">
        <v>348</v>
      </c>
      <c r="AG13" s="3" t="s">
        <v>348</v>
      </c>
      <c r="AH13" s="3" t="s">
        <v>348</v>
      </c>
      <c r="AI13" s="3" t="s">
        <v>348</v>
      </c>
    </row>
    <row r="14" spans="1:40" s="3" customFormat="1">
      <c r="A14" s="9">
        <v>11</v>
      </c>
      <c r="B14" s="6" t="s">
        <v>6</v>
      </c>
      <c r="C14" s="13" t="s">
        <v>19</v>
      </c>
      <c r="D14" s="6" t="s">
        <v>20</v>
      </c>
      <c r="E14" s="12" t="s">
        <v>7</v>
      </c>
      <c r="F14" s="7"/>
      <c r="G14" s="21">
        <v>47</v>
      </c>
      <c r="H14" s="21">
        <v>54</v>
      </c>
      <c r="I14" s="21"/>
      <c r="J14" s="39">
        <v>54</v>
      </c>
      <c r="P14" s="30">
        <f t="shared" si="0"/>
        <v>54</v>
      </c>
      <c r="Q14" s="31">
        <f t="shared" si="1"/>
        <v>0</v>
      </c>
      <c r="R14" s="32">
        <f t="shared" si="2"/>
        <v>54</v>
      </c>
      <c r="S14" s="3">
        <v>48</v>
      </c>
      <c r="V14" s="3" t="s">
        <v>348</v>
      </c>
      <c r="W14" s="3" t="s">
        <v>348</v>
      </c>
      <c r="X14" s="3" t="s">
        <v>348</v>
      </c>
      <c r="Y14" s="3" t="s">
        <v>348</v>
      </c>
      <c r="Z14" s="3" t="s">
        <v>348</v>
      </c>
      <c r="AC14" s="3" t="s">
        <v>348</v>
      </c>
      <c r="AD14" s="3">
        <v>6</v>
      </c>
      <c r="AF14" s="3" t="s">
        <v>348</v>
      </c>
      <c r="AG14" s="3" t="s">
        <v>348</v>
      </c>
      <c r="AH14" s="3" t="s">
        <v>348</v>
      </c>
      <c r="AI14" s="3" t="s">
        <v>348</v>
      </c>
    </row>
    <row r="15" spans="1:40" s="3" customFormat="1">
      <c r="A15" s="9">
        <v>12</v>
      </c>
      <c r="B15" s="6" t="s">
        <v>6</v>
      </c>
      <c r="C15" s="13" t="s">
        <v>21</v>
      </c>
      <c r="D15" s="6" t="s">
        <v>20</v>
      </c>
      <c r="E15" s="12" t="s">
        <v>7</v>
      </c>
      <c r="F15" s="7"/>
      <c r="G15" s="21">
        <v>4</v>
      </c>
      <c r="H15" s="21">
        <v>6</v>
      </c>
      <c r="I15" s="21">
        <v>6</v>
      </c>
      <c r="J15" s="27">
        <v>0</v>
      </c>
      <c r="P15" s="30">
        <f t="shared" si="0"/>
        <v>0</v>
      </c>
      <c r="Q15" s="31">
        <f t="shared" si="1"/>
        <v>0</v>
      </c>
      <c r="R15" s="32">
        <f t="shared" si="2"/>
        <v>0</v>
      </c>
      <c r="V15" s="3" t="s">
        <v>348</v>
      </c>
      <c r="W15" s="3" t="s">
        <v>348</v>
      </c>
      <c r="X15" s="3" t="s">
        <v>348</v>
      </c>
      <c r="Y15" s="3" t="s">
        <v>348</v>
      </c>
      <c r="Z15" s="3" t="s">
        <v>348</v>
      </c>
      <c r="AC15" s="3" t="s">
        <v>348</v>
      </c>
      <c r="AF15" s="3" t="s">
        <v>348</v>
      </c>
      <c r="AG15" s="3" t="s">
        <v>348</v>
      </c>
      <c r="AH15" s="3" t="s">
        <v>348</v>
      </c>
      <c r="AI15" s="3" t="s">
        <v>348</v>
      </c>
    </row>
    <row r="16" spans="1:40" s="3" customFormat="1">
      <c r="A16" s="9">
        <v>13</v>
      </c>
      <c r="B16" s="6" t="s">
        <v>6</v>
      </c>
      <c r="C16" s="13" t="s">
        <v>22</v>
      </c>
      <c r="D16" s="6" t="s">
        <v>20</v>
      </c>
      <c r="E16" s="12" t="s">
        <v>7</v>
      </c>
      <c r="F16" s="7"/>
      <c r="G16" s="21">
        <v>805</v>
      </c>
      <c r="H16" s="21">
        <v>864</v>
      </c>
      <c r="I16" s="21"/>
      <c r="J16" s="27">
        <v>864</v>
      </c>
      <c r="P16" s="30">
        <f t="shared" si="0"/>
        <v>864</v>
      </c>
      <c r="Q16" s="31">
        <f t="shared" si="1"/>
        <v>0</v>
      </c>
      <c r="R16" s="32">
        <f t="shared" si="2"/>
        <v>864</v>
      </c>
      <c r="V16" s="3" t="s">
        <v>348</v>
      </c>
      <c r="W16" s="3" t="s">
        <v>348</v>
      </c>
      <c r="X16" s="3" t="s">
        <v>348</v>
      </c>
      <c r="Y16" s="3" t="s">
        <v>348</v>
      </c>
      <c r="Z16" s="3" t="s">
        <v>348</v>
      </c>
      <c r="AC16" s="3" t="s">
        <v>348</v>
      </c>
      <c r="AD16" s="3">
        <v>864</v>
      </c>
      <c r="AF16" s="3" t="s">
        <v>348</v>
      </c>
      <c r="AG16" s="3" t="s">
        <v>348</v>
      </c>
      <c r="AH16" s="3" t="s">
        <v>348</v>
      </c>
      <c r="AI16" s="3" t="s">
        <v>348</v>
      </c>
    </row>
    <row r="17" spans="1:35" s="3" customFormat="1">
      <c r="A17" s="9">
        <v>14</v>
      </c>
      <c r="B17" s="6" t="s">
        <v>6</v>
      </c>
      <c r="C17" s="13" t="s">
        <v>23</v>
      </c>
      <c r="D17" s="6" t="s">
        <v>20</v>
      </c>
      <c r="E17" s="12" t="s">
        <v>7</v>
      </c>
      <c r="F17" s="7"/>
      <c r="G17" s="21">
        <v>1</v>
      </c>
      <c r="H17" s="21">
        <v>6</v>
      </c>
      <c r="I17" s="21"/>
      <c r="J17" s="27">
        <v>6</v>
      </c>
      <c r="P17" s="30">
        <f t="shared" si="0"/>
        <v>6</v>
      </c>
      <c r="Q17" s="31">
        <f t="shared" si="1"/>
        <v>0</v>
      </c>
      <c r="R17" s="32">
        <f t="shared" si="2"/>
        <v>6</v>
      </c>
      <c r="S17" s="3">
        <v>6</v>
      </c>
      <c r="V17" s="3" t="s">
        <v>348</v>
      </c>
      <c r="W17" s="3" t="s">
        <v>348</v>
      </c>
      <c r="X17" s="3" t="s">
        <v>348</v>
      </c>
      <c r="Y17" s="3" t="s">
        <v>348</v>
      </c>
      <c r="Z17" s="3" t="s">
        <v>348</v>
      </c>
      <c r="AC17" s="3" t="s">
        <v>348</v>
      </c>
      <c r="AF17" s="3" t="s">
        <v>348</v>
      </c>
      <c r="AG17" s="3" t="s">
        <v>348</v>
      </c>
      <c r="AH17" s="3" t="s">
        <v>348</v>
      </c>
      <c r="AI17" s="3" t="s">
        <v>348</v>
      </c>
    </row>
    <row r="18" spans="1:35" s="3" customFormat="1">
      <c r="A18" s="9">
        <v>15</v>
      </c>
      <c r="B18" s="6" t="s">
        <v>6</v>
      </c>
      <c r="C18" s="13" t="s">
        <v>24</v>
      </c>
      <c r="D18" s="6" t="s">
        <v>20</v>
      </c>
      <c r="E18" s="12" t="s">
        <v>7</v>
      </c>
      <c r="F18" s="7"/>
      <c r="G18" s="21">
        <v>123</v>
      </c>
      <c r="H18" s="21">
        <v>132</v>
      </c>
      <c r="I18" s="21">
        <v>108</v>
      </c>
      <c r="J18" s="27">
        <v>24</v>
      </c>
      <c r="P18" s="30">
        <f t="shared" si="0"/>
        <v>24</v>
      </c>
      <c r="Q18" s="31">
        <f t="shared" si="1"/>
        <v>0</v>
      </c>
      <c r="R18" s="32">
        <f t="shared" si="2"/>
        <v>24</v>
      </c>
      <c r="S18" s="3">
        <v>24</v>
      </c>
      <c r="V18" s="3" t="s">
        <v>348</v>
      </c>
      <c r="W18" s="3" t="s">
        <v>348</v>
      </c>
      <c r="X18" s="3" t="s">
        <v>348</v>
      </c>
      <c r="Y18" s="3" t="s">
        <v>348</v>
      </c>
      <c r="Z18" s="3" t="s">
        <v>348</v>
      </c>
      <c r="AC18" s="3" t="s">
        <v>348</v>
      </c>
      <c r="AF18" s="3" t="s">
        <v>348</v>
      </c>
      <c r="AG18" s="3" t="s">
        <v>348</v>
      </c>
      <c r="AH18" s="3" t="s">
        <v>348</v>
      </c>
      <c r="AI18" s="3" t="s">
        <v>348</v>
      </c>
    </row>
    <row r="19" spans="1:35" s="3" customFormat="1">
      <c r="A19" s="9">
        <v>16</v>
      </c>
      <c r="B19" s="6" t="s">
        <v>6</v>
      </c>
      <c r="C19" s="13" t="s">
        <v>25</v>
      </c>
      <c r="D19" s="6" t="s">
        <v>20</v>
      </c>
      <c r="E19" s="12" t="s">
        <v>7</v>
      </c>
      <c r="F19" s="7"/>
      <c r="G19" s="21">
        <v>60</v>
      </c>
      <c r="H19" s="21">
        <v>66</v>
      </c>
      <c r="I19" s="21">
        <v>6</v>
      </c>
      <c r="J19" s="27">
        <v>60</v>
      </c>
      <c r="P19" s="30">
        <f t="shared" si="0"/>
        <v>60</v>
      </c>
      <c r="Q19" s="31">
        <f t="shared" si="1"/>
        <v>0</v>
      </c>
      <c r="R19" s="32">
        <f t="shared" si="2"/>
        <v>60</v>
      </c>
      <c r="V19" s="3" t="s">
        <v>348</v>
      </c>
      <c r="W19" s="3" t="s">
        <v>348</v>
      </c>
      <c r="X19" s="3" t="s">
        <v>348</v>
      </c>
      <c r="Y19" s="3" t="s">
        <v>348</v>
      </c>
      <c r="Z19" s="3" t="s">
        <v>348</v>
      </c>
      <c r="AC19" s="3" t="s">
        <v>348</v>
      </c>
      <c r="AD19" s="3">
        <v>60</v>
      </c>
      <c r="AF19" s="3" t="s">
        <v>348</v>
      </c>
      <c r="AG19" s="3" t="s">
        <v>348</v>
      </c>
      <c r="AH19" s="3" t="s">
        <v>348</v>
      </c>
      <c r="AI19" s="3" t="s">
        <v>348</v>
      </c>
    </row>
    <row r="20" spans="1:35" s="3" customFormat="1">
      <c r="A20" s="9">
        <v>17</v>
      </c>
      <c r="B20" s="6" t="s">
        <v>6</v>
      </c>
      <c r="C20" s="13" t="s">
        <v>26</v>
      </c>
      <c r="D20" s="6" t="s">
        <v>20</v>
      </c>
      <c r="E20" s="12" t="s">
        <v>7</v>
      </c>
      <c r="F20" s="7"/>
      <c r="G20" s="21">
        <v>59</v>
      </c>
      <c r="H20" s="21">
        <v>66</v>
      </c>
      <c r="I20" s="21"/>
      <c r="J20" s="27">
        <v>66</v>
      </c>
      <c r="P20" s="30">
        <f t="shared" si="0"/>
        <v>66</v>
      </c>
      <c r="Q20" s="31">
        <f t="shared" si="1"/>
        <v>0</v>
      </c>
      <c r="R20" s="32">
        <f t="shared" si="2"/>
        <v>66</v>
      </c>
      <c r="S20" s="3">
        <v>66</v>
      </c>
      <c r="V20" s="3" t="s">
        <v>348</v>
      </c>
      <c r="W20" s="3" t="s">
        <v>348</v>
      </c>
      <c r="X20" s="3" t="s">
        <v>348</v>
      </c>
      <c r="Y20" s="3" t="s">
        <v>348</v>
      </c>
      <c r="Z20" s="3" t="s">
        <v>348</v>
      </c>
      <c r="AC20" s="3" t="s">
        <v>348</v>
      </c>
      <c r="AF20" s="3" t="s">
        <v>348</v>
      </c>
      <c r="AG20" s="3" t="s">
        <v>348</v>
      </c>
      <c r="AH20" s="3" t="s">
        <v>348</v>
      </c>
      <c r="AI20" s="3" t="s">
        <v>348</v>
      </c>
    </row>
    <row r="21" spans="1:35" s="3" customFormat="1">
      <c r="A21" s="9">
        <v>18</v>
      </c>
      <c r="B21" s="6" t="s">
        <v>6</v>
      </c>
      <c r="C21" s="13" t="s">
        <v>27</v>
      </c>
      <c r="D21" s="6" t="s">
        <v>20</v>
      </c>
      <c r="E21" s="12" t="s">
        <v>7</v>
      </c>
      <c r="F21" s="7"/>
      <c r="G21" s="21">
        <v>107</v>
      </c>
      <c r="H21" s="21">
        <v>114</v>
      </c>
      <c r="I21" s="21"/>
      <c r="J21" s="27">
        <v>114</v>
      </c>
      <c r="P21" s="30">
        <f t="shared" si="0"/>
        <v>114</v>
      </c>
      <c r="Q21" s="31">
        <f t="shared" si="1"/>
        <v>0</v>
      </c>
      <c r="R21" s="32">
        <f t="shared" si="2"/>
        <v>114</v>
      </c>
      <c r="S21" s="3">
        <v>114</v>
      </c>
      <c r="V21" s="3" t="s">
        <v>348</v>
      </c>
      <c r="W21" s="3" t="s">
        <v>348</v>
      </c>
      <c r="X21" s="3" t="s">
        <v>348</v>
      </c>
      <c r="Y21" s="3" t="s">
        <v>348</v>
      </c>
      <c r="Z21" s="3" t="s">
        <v>348</v>
      </c>
      <c r="AC21" s="3" t="s">
        <v>348</v>
      </c>
      <c r="AF21" s="3" t="s">
        <v>348</v>
      </c>
      <c r="AG21" s="3" t="s">
        <v>348</v>
      </c>
      <c r="AH21" s="3" t="s">
        <v>348</v>
      </c>
      <c r="AI21" s="3" t="s">
        <v>348</v>
      </c>
    </row>
    <row r="22" spans="1:35" s="3" customFormat="1">
      <c r="A22" s="9">
        <v>19</v>
      </c>
      <c r="B22" s="6" t="s">
        <v>6</v>
      </c>
      <c r="C22" s="13" t="s">
        <v>28</v>
      </c>
      <c r="D22" s="6" t="s">
        <v>20</v>
      </c>
      <c r="E22" s="12" t="s">
        <v>7</v>
      </c>
      <c r="F22" s="7"/>
      <c r="G22" s="21">
        <v>7</v>
      </c>
      <c r="H22" s="21">
        <v>12</v>
      </c>
      <c r="I22" s="21">
        <v>12</v>
      </c>
      <c r="J22" s="27">
        <v>0</v>
      </c>
      <c r="P22" s="30">
        <f t="shared" si="0"/>
        <v>0</v>
      </c>
      <c r="Q22" s="31">
        <f t="shared" si="1"/>
        <v>0</v>
      </c>
      <c r="R22" s="32">
        <f t="shared" si="2"/>
        <v>0</v>
      </c>
      <c r="V22" s="3" t="s">
        <v>348</v>
      </c>
      <c r="W22" s="3" t="s">
        <v>348</v>
      </c>
      <c r="X22" s="3" t="s">
        <v>348</v>
      </c>
      <c r="Y22" s="3" t="s">
        <v>348</v>
      </c>
      <c r="Z22" s="3" t="s">
        <v>348</v>
      </c>
      <c r="AC22" s="3" t="s">
        <v>348</v>
      </c>
      <c r="AF22" s="3" t="s">
        <v>348</v>
      </c>
      <c r="AG22" s="3" t="s">
        <v>348</v>
      </c>
      <c r="AH22" s="3" t="s">
        <v>348</v>
      </c>
      <c r="AI22" s="3" t="s">
        <v>348</v>
      </c>
    </row>
    <row r="23" spans="1:35" s="3" customFormat="1">
      <c r="A23" s="9">
        <v>20</v>
      </c>
      <c r="B23" s="6" t="s">
        <v>29</v>
      </c>
      <c r="C23" s="14" t="s">
        <v>31</v>
      </c>
      <c r="D23" s="6" t="s">
        <v>30</v>
      </c>
      <c r="E23" s="12" t="s">
        <v>7</v>
      </c>
      <c r="F23" s="7"/>
      <c r="G23" s="21">
        <v>7</v>
      </c>
      <c r="H23" s="21">
        <v>12</v>
      </c>
      <c r="I23" s="21">
        <v>12</v>
      </c>
      <c r="J23" s="27">
        <v>0</v>
      </c>
      <c r="P23" s="30">
        <f t="shared" si="0"/>
        <v>0</v>
      </c>
      <c r="Q23" s="31">
        <f t="shared" si="1"/>
        <v>0</v>
      </c>
      <c r="R23" s="32">
        <f t="shared" si="2"/>
        <v>0</v>
      </c>
      <c r="V23" s="3" t="s">
        <v>348</v>
      </c>
      <c r="W23" s="3" t="s">
        <v>348</v>
      </c>
      <c r="X23" s="3" t="s">
        <v>348</v>
      </c>
      <c r="Y23" s="3" t="s">
        <v>348</v>
      </c>
      <c r="Z23" s="3" t="s">
        <v>348</v>
      </c>
      <c r="AC23" s="3" t="s">
        <v>348</v>
      </c>
      <c r="AF23" s="3" t="s">
        <v>348</v>
      </c>
      <c r="AG23" s="3" t="s">
        <v>348</v>
      </c>
      <c r="AH23" s="3" t="s">
        <v>348</v>
      </c>
      <c r="AI23" s="3" t="s">
        <v>348</v>
      </c>
    </row>
    <row r="24" spans="1:35" s="3" customFormat="1">
      <c r="A24" s="46">
        <v>21</v>
      </c>
      <c r="B24" s="18" t="s">
        <v>29</v>
      </c>
      <c r="C24" s="47" t="s">
        <v>32</v>
      </c>
      <c r="D24" s="18" t="s">
        <v>30</v>
      </c>
      <c r="E24" s="48" t="s">
        <v>7</v>
      </c>
      <c r="F24" s="49"/>
      <c r="G24" s="21">
        <v>1</v>
      </c>
      <c r="H24" s="21">
        <v>6</v>
      </c>
      <c r="I24" s="21">
        <v>6</v>
      </c>
      <c r="J24" s="27">
        <v>0</v>
      </c>
      <c r="P24" s="30">
        <f t="shared" si="0"/>
        <v>0</v>
      </c>
      <c r="Q24" s="31">
        <f t="shared" si="1"/>
        <v>0</v>
      </c>
      <c r="R24" s="32">
        <f t="shared" si="2"/>
        <v>0</v>
      </c>
      <c r="V24" s="3" t="s">
        <v>348</v>
      </c>
      <c r="W24" s="3" t="s">
        <v>348</v>
      </c>
      <c r="X24" s="3" t="s">
        <v>348</v>
      </c>
      <c r="Y24" s="3" t="s">
        <v>348</v>
      </c>
      <c r="Z24" s="3" t="s">
        <v>348</v>
      </c>
      <c r="AC24" s="3" t="s">
        <v>348</v>
      </c>
      <c r="AF24" s="3" t="s">
        <v>348</v>
      </c>
      <c r="AG24" s="3" t="s">
        <v>348</v>
      </c>
      <c r="AH24" s="3" t="s">
        <v>348</v>
      </c>
      <c r="AI24" s="3" t="s">
        <v>348</v>
      </c>
    </row>
    <row r="25" spans="1:35" s="3" customFormat="1">
      <c r="A25" s="62">
        <v>22</v>
      </c>
      <c r="B25" s="63" t="s">
        <v>33</v>
      </c>
      <c r="C25" s="64" t="s">
        <v>34</v>
      </c>
      <c r="D25" s="63" t="s">
        <v>35</v>
      </c>
      <c r="E25" s="65" t="s">
        <v>36</v>
      </c>
      <c r="F25" s="58"/>
      <c r="G25" s="43">
        <f>57+1</f>
        <v>58</v>
      </c>
      <c r="H25" s="21">
        <v>60</v>
      </c>
      <c r="I25" s="21">
        <v>21</v>
      </c>
      <c r="J25" s="27">
        <v>39</v>
      </c>
      <c r="P25" s="30">
        <f t="shared" si="0"/>
        <v>39</v>
      </c>
      <c r="Q25" s="31">
        <f t="shared" si="1"/>
        <v>0</v>
      </c>
      <c r="R25" s="44">
        <f t="shared" si="2"/>
        <v>39</v>
      </c>
      <c r="V25" s="3" t="s">
        <v>348</v>
      </c>
      <c r="W25" s="3" t="s">
        <v>348</v>
      </c>
      <c r="X25" s="3" t="s">
        <v>348</v>
      </c>
      <c r="Y25" s="3">
        <v>39</v>
      </c>
      <c r="Z25" s="3" t="s">
        <v>348</v>
      </c>
      <c r="AC25" s="3" t="s">
        <v>348</v>
      </c>
      <c r="AF25" s="3" t="s">
        <v>348</v>
      </c>
      <c r="AG25" s="3" t="s">
        <v>348</v>
      </c>
      <c r="AH25" s="3" t="s">
        <v>348</v>
      </c>
      <c r="AI25" s="3" t="s">
        <v>348</v>
      </c>
    </row>
    <row r="26" spans="1:35" s="3" customFormat="1">
      <c r="A26" s="62">
        <v>23</v>
      </c>
      <c r="B26" s="63" t="s">
        <v>33</v>
      </c>
      <c r="C26" s="64" t="s">
        <v>37</v>
      </c>
      <c r="D26" s="63" t="s">
        <v>35</v>
      </c>
      <c r="E26" s="65" t="s">
        <v>36</v>
      </c>
      <c r="F26" s="58"/>
      <c r="G26" s="43">
        <f>315+16</f>
        <v>331</v>
      </c>
      <c r="H26" s="21">
        <f>315+16</f>
        <v>331</v>
      </c>
      <c r="I26" s="21">
        <v>19</v>
      </c>
      <c r="J26" s="39">
        <v>312</v>
      </c>
      <c r="P26" s="30">
        <f t="shared" si="0"/>
        <v>312</v>
      </c>
      <c r="Q26" s="31">
        <f t="shared" si="1"/>
        <v>0</v>
      </c>
      <c r="R26" s="44">
        <f t="shared" si="2"/>
        <v>312</v>
      </c>
      <c r="V26" s="3" t="s">
        <v>348</v>
      </c>
      <c r="W26" s="3" t="s">
        <v>348</v>
      </c>
      <c r="X26" s="3" t="s">
        <v>348</v>
      </c>
      <c r="Y26" s="3">
        <v>312</v>
      </c>
      <c r="Z26" s="3" t="s">
        <v>348</v>
      </c>
      <c r="AC26" s="3" t="s">
        <v>348</v>
      </c>
      <c r="AF26" s="3" t="s">
        <v>348</v>
      </c>
      <c r="AG26" s="3" t="s">
        <v>348</v>
      </c>
      <c r="AH26" s="3" t="s">
        <v>348</v>
      </c>
      <c r="AI26" s="3" t="s">
        <v>348</v>
      </c>
    </row>
    <row r="27" spans="1:35" s="3" customFormat="1">
      <c r="A27" s="62">
        <v>24</v>
      </c>
      <c r="B27" s="63" t="s">
        <v>33</v>
      </c>
      <c r="C27" s="64" t="s">
        <v>38</v>
      </c>
      <c r="D27" s="63" t="s">
        <v>35</v>
      </c>
      <c r="E27" s="65" t="s">
        <v>36</v>
      </c>
      <c r="F27" s="58"/>
      <c r="G27" s="43">
        <f>33+15</f>
        <v>48</v>
      </c>
      <c r="H27" s="21">
        <f>33+15</f>
        <v>48</v>
      </c>
      <c r="I27" s="21">
        <v>25</v>
      </c>
      <c r="J27" s="39">
        <v>24</v>
      </c>
      <c r="P27" s="30">
        <f t="shared" si="0"/>
        <v>24</v>
      </c>
      <c r="Q27" s="31">
        <f t="shared" si="1"/>
        <v>0</v>
      </c>
      <c r="R27" s="44">
        <f t="shared" si="2"/>
        <v>24</v>
      </c>
      <c r="V27" s="3" t="s">
        <v>348</v>
      </c>
      <c r="W27" s="3" t="s">
        <v>348</v>
      </c>
      <c r="X27" s="3" t="s">
        <v>348</v>
      </c>
      <c r="Y27" s="3">
        <v>24</v>
      </c>
      <c r="Z27" s="3" t="s">
        <v>348</v>
      </c>
      <c r="AC27" s="3" t="s">
        <v>348</v>
      </c>
      <c r="AF27" s="3" t="s">
        <v>348</v>
      </c>
      <c r="AG27" s="3" t="s">
        <v>348</v>
      </c>
      <c r="AH27" s="3" t="s">
        <v>348</v>
      </c>
      <c r="AI27" s="3" t="s">
        <v>348</v>
      </c>
    </row>
    <row r="28" spans="1:35" s="3" customFormat="1">
      <c r="A28" s="62">
        <v>25</v>
      </c>
      <c r="B28" s="63" t="s">
        <v>33</v>
      </c>
      <c r="C28" s="64" t="s">
        <v>39</v>
      </c>
      <c r="D28" s="63" t="s">
        <v>40</v>
      </c>
      <c r="E28" s="65" t="s">
        <v>36</v>
      </c>
      <c r="F28" s="58"/>
      <c r="G28" s="43">
        <v>169</v>
      </c>
      <c r="H28" s="21">
        <v>169</v>
      </c>
      <c r="I28" s="21"/>
      <c r="J28" s="39">
        <v>169</v>
      </c>
      <c r="P28" s="30">
        <f t="shared" si="0"/>
        <v>169</v>
      </c>
      <c r="Q28" s="31">
        <f t="shared" si="1"/>
        <v>0</v>
      </c>
      <c r="R28" s="44">
        <f t="shared" si="2"/>
        <v>169</v>
      </c>
      <c r="V28" s="3">
        <v>155</v>
      </c>
      <c r="W28" s="3" t="s">
        <v>348</v>
      </c>
      <c r="X28" s="3" t="s">
        <v>348</v>
      </c>
      <c r="Y28" s="3" t="s">
        <v>348</v>
      </c>
      <c r="Z28" s="3">
        <v>14</v>
      </c>
      <c r="AC28" s="3" t="s">
        <v>348</v>
      </c>
      <c r="AF28" s="3" t="s">
        <v>348</v>
      </c>
      <c r="AG28" s="3" t="s">
        <v>348</v>
      </c>
      <c r="AH28" s="3" t="s">
        <v>348</v>
      </c>
      <c r="AI28" s="3" t="s">
        <v>348</v>
      </c>
    </row>
    <row r="29" spans="1:35" s="3" customFormat="1">
      <c r="A29" s="62">
        <v>26</v>
      </c>
      <c r="B29" s="63" t="s">
        <v>33</v>
      </c>
      <c r="C29" s="64" t="s">
        <v>41</v>
      </c>
      <c r="D29" s="63" t="s">
        <v>40</v>
      </c>
      <c r="E29" s="65" t="s">
        <v>36</v>
      </c>
      <c r="F29" s="58"/>
      <c r="G29" s="43">
        <v>4</v>
      </c>
      <c r="H29" s="21">
        <v>5</v>
      </c>
      <c r="I29" s="21"/>
      <c r="J29" s="27">
        <v>5</v>
      </c>
      <c r="P29" s="30">
        <f t="shared" si="0"/>
        <v>5</v>
      </c>
      <c r="Q29" s="31">
        <f t="shared" si="1"/>
        <v>0</v>
      </c>
      <c r="R29" s="44">
        <f t="shared" si="2"/>
        <v>5</v>
      </c>
      <c r="V29" s="3">
        <v>5</v>
      </c>
      <c r="W29" s="3" t="s">
        <v>348</v>
      </c>
      <c r="X29" s="3" t="s">
        <v>348</v>
      </c>
      <c r="Y29" s="3" t="s">
        <v>348</v>
      </c>
      <c r="Z29" s="3" t="s">
        <v>348</v>
      </c>
      <c r="AC29" s="3" t="s">
        <v>348</v>
      </c>
      <c r="AF29" s="3" t="s">
        <v>348</v>
      </c>
      <c r="AG29" s="3" t="s">
        <v>348</v>
      </c>
      <c r="AH29" s="3" t="s">
        <v>348</v>
      </c>
      <c r="AI29" s="3" t="s">
        <v>348</v>
      </c>
    </row>
    <row r="30" spans="1:35" s="3" customFormat="1">
      <c r="A30" s="62">
        <v>27</v>
      </c>
      <c r="B30" s="63" t="s">
        <v>33</v>
      </c>
      <c r="C30" s="64" t="s">
        <v>42</v>
      </c>
      <c r="D30" s="63" t="s">
        <v>40</v>
      </c>
      <c r="E30" s="65" t="s">
        <v>36</v>
      </c>
      <c r="F30" s="58"/>
      <c r="G30" s="43">
        <v>72</v>
      </c>
      <c r="H30" s="21">
        <v>72</v>
      </c>
      <c r="I30" s="21">
        <v>22</v>
      </c>
      <c r="J30" s="39">
        <v>50</v>
      </c>
      <c r="P30" s="30">
        <f t="shared" si="0"/>
        <v>50</v>
      </c>
      <c r="Q30" s="31">
        <f t="shared" si="1"/>
        <v>0</v>
      </c>
      <c r="R30" s="44">
        <f t="shared" si="2"/>
        <v>50</v>
      </c>
      <c r="V30" s="3">
        <v>3</v>
      </c>
      <c r="W30" s="3" t="s">
        <v>348</v>
      </c>
      <c r="X30" s="3" t="s">
        <v>348</v>
      </c>
      <c r="Y30" s="3" t="s">
        <v>348</v>
      </c>
      <c r="Z30" s="3">
        <v>47</v>
      </c>
      <c r="AC30" s="3" t="s">
        <v>348</v>
      </c>
      <c r="AF30" s="3" t="s">
        <v>348</v>
      </c>
      <c r="AG30" s="3" t="s">
        <v>348</v>
      </c>
      <c r="AH30" s="3" t="s">
        <v>348</v>
      </c>
      <c r="AI30" s="3" t="s">
        <v>348</v>
      </c>
    </row>
    <row r="31" spans="1:35" s="3" customFormat="1">
      <c r="A31" s="62">
        <v>28</v>
      </c>
      <c r="B31" s="63" t="s">
        <v>33</v>
      </c>
      <c r="C31" s="64" t="s">
        <v>43</v>
      </c>
      <c r="D31" s="63" t="s">
        <v>40</v>
      </c>
      <c r="E31" s="65" t="s">
        <v>36</v>
      </c>
      <c r="F31" s="58"/>
      <c r="G31" s="43">
        <v>47</v>
      </c>
      <c r="H31" s="21">
        <v>47</v>
      </c>
      <c r="I31" s="21">
        <v>29</v>
      </c>
      <c r="J31" s="27">
        <v>18</v>
      </c>
      <c r="P31" s="30">
        <f t="shared" si="0"/>
        <v>18</v>
      </c>
      <c r="Q31" s="31">
        <f t="shared" si="1"/>
        <v>0</v>
      </c>
      <c r="R31" s="44">
        <f t="shared" si="2"/>
        <v>18</v>
      </c>
      <c r="V31" s="3">
        <v>18</v>
      </c>
      <c r="W31" s="3" t="s">
        <v>348</v>
      </c>
      <c r="X31" s="3" t="s">
        <v>348</v>
      </c>
      <c r="Y31" s="3" t="s">
        <v>348</v>
      </c>
      <c r="Z31" s="3" t="s">
        <v>348</v>
      </c>
      <c r="AC31" s="3" t="s">
        <v>348</v>
      </c>
      <c r="AF31" s="3" t="s">
        <v>348</v>
      </c>
      <c r="AG31" s="3" t="s">
        <v>348</v>
      </c>
      <c r="AH31" s="3" t="s">
        <v>348</v>
      </c>
      <c r="AI31" s="3" t="s">
        <v>348</v>
      </c>
    </row>
    <row r="32" spans="1:35" s="3" customFormat="1">
      <c r="A32" s="62">
        <v>29</v>
      </c>
      <c r="B32" s="63" t="s">
        <v>33</v>
      </c>
      <c r="C32" s="64" t="s">
        <v>44</v>
      </c>
      <c r="D32" s="63" t="s">
        <v>40</v>
      </c>
      <c r="E32" s="65" t="s">
        <v>36</v>
      </c>
      <c r="F32" s="58"/>
      <c r="G32" s="43">
        <v>10</v>
      </c>
      <c r="H32" s="21">
        <v>10</v>
      </c>
      <c r="I32" s="21">
        <v>6</v>
      </c>
      <c r="J32" s="27">
        <v>4</v>
      </c>
      <c r="P32" s="30">
        <f t="shared" si="0"/>
        <v>4</v>
      </c>
      <c r="Q32" s="31">
        <f t="shared" si="1"/>
        <v>0</v>
      </c>
      <c r="R32" s="44">
        <f t="shared" si="2"/>
        <v>4</v>
      </c>
      <c r="V32" s="3">
        <v>4</v>
      </c>
      <c r="W32" s="3" t="s">
        <v>348</v>
      </c>
      <c r="X32" s="3" t="s">
        <v>348</v>
      </c>
      <c r="Y32" s="3" t="s">
        <v>348</v>
      </c>
      <c r="Z32" s="3" t="s">
        <v>348</v>
      </c>
      <c r="AC32" s="3" t="s">
        <v>348</v>
      </c>
      <c r="AF32" s="3" t="s">
        <v>348</v>
      </c>
      <c r="AG32" s="3" t="s">
        <v>348</v>
      </c>
      <c r="AH32" s="3" t="s">
        <v>348</v>
      </c>
      <c r="AI32" s="3" t="s">
        <v>348</v>
      </c>
    </row>
    <row r="33" spans="1:35" s="3" customFormat="1">
      <c r="A33" s="62">
        <v>30</v>
      </c>
      <c r="B33" s="63" t="s">
        <v>33</v>
      </c>
      <c r="C33" s="64" t="s">
        <v>45</v>
      </c>
      <c r="D33" s="63" t="s">
        <v>35</v>
      </c>
      <c r="E33" s="65" t="s">
        <v>36</v>
      </c>
      <c r="F33" s="58"/>
      <c r="G33" s="43">
        <v>16</v>
      </c>
      <c r="H33" s="21">
        <v>18</v>
      </c>
      <c r="I33" s="21"/>
      <c r="J33" s="27">
        <v>18</v>
      </c>
      <c r="P33" s="30">
        <f t="shared" si="0"/>
        <v>18</v>
      </c>
      <c r="Q33" s="31">
        <f t="shared" si="1"/>
        <v>0</v>
      </c>
      <c r="R33" s="44">
        <f t="shared" si="2"/>
        <v>18</v>
      </c>
      <c r="V33" s="3">
        <v>18</v>
      </c>
      <c r="W33" s="3" t="s">
        <v>348</v>
      </c>
      <c r="X33" s="3" t="s">
        <v>348</v>
      </c>
      <c r="Y33" s="3" t="s">
        <v>348</v>
      </c>
      <c r="Z33" s="3" t="s">
        <v>348</v>
      </c>
      <c r="AC33" s="3" t="s">
        <v>348</v>
      </c>
      <c r="AF33" s="3" t="s">
        <v>348</v>
      </c>
      <c r="AG33" s="3" t="s">
        <v>348</v>
      </c>
      <c r="AH33" s="3" t="s">
        <v>348</v>
      </c>
      <c r="AI33" s="3" t="s">
        <v>348</v>
      </c>
    </row>
    <row r="34" spans="1:35" s="3" customFormat="1">
      <c r="A34" s="62">
        <v>31</v>
      </c>
      <c r="B34" s="63" t="s">
        <v>33</v>
      </c>
      <c r="C34" s="64" t="s">
        <v>46</v>
      </c>
      <c r="D34" s="63" t="s">
        <v>35</v>
      </c>
      <c r="E34" s="65" t="s">
        <v>36</v>
      </c>
      <c r="F34" s="58"/>
      <c r="G34" s="43">
        <v>15</v>
      </c>
      <c r="H34" s="21">
        <v>15</v>
      </c>
      <c r="I34" s="21">
        <v>11</v>
      </c>
      <c r="J34" s="27">
        <v>4</v>
      </c>
      <c r="P34" s="30">
        <f t="shared" si="0"/>
        <v>4</v>
      </c>
      <c r="Q34" s="31">
        <f t="shared" si="1"/>
        <v>0</v>
      </c>
      <c r="R34" s="44">
        <f t="shared" si="2"/>
        <v>4</v>
      </c>
      <c r="V34" s="3">
        <v>4</v>
      </c>
      <c r="W34" s="3" t="s">
        <v>348</v>
      </c>
      <c r="X34" s="3" t="s">
        <v>348</v>
      </c>
      <c r="Y34" s="3" t="s">
        <v>348</v>
      </c>
      <c r="Z34" s="3" t="s">
        <v>348</v>
      </c>
      <c r="AC34" s="3" t="s">
        <v>348</v>
      </c>
      <c r="AF34" s="3" t="s">
        <v>348</v>
      </c>
      <c r="AG34" s="3" t="s">
        <v>348</v>
      </c>
      <c r="AH34" s="3" t="s">
        <v>348</v>
      </c>
      <c r="AI34" s="3" t="s">
        <v>348</v>
      </c>
    </row>
    <row r="35" spans="1:35" s="3" customFormat="1">
      <c r="A35" s="62">
        <v>32</v>
      </c>
      <c r="B35" s="63" t="s">
        <v>33</v>
      </c>
      <c r="C35" s="64" t="s">
        <v>39</v>
      </c>
      <c r="D35" s="63" t="s">
        <v>40</v>
      </c>
      <c r="E35" s="65" t="s">
        <v>36</v>
      </c>
      <c r="F35" s="58"/>
      <c r="G35" s="43">
        <v>7</v>
      </c>
      <c r="H35" s="21">
        <v>7</v>
      </c>
      <c r="I35" s="21"/>
      <c r="J35" s="27">
        <v>7</v>
      </c>
      <c r="P35" s="30">
        <f t="shared" si="0"/>
        <v>7</v>
      </c>
      <c r="Q35" s="31">
        <f t="shared" si="1"/>
        <v>0</v>
      </c>
      <c r="R35" s="44">
        <f t="shared" si="2"/>
        <v>7</v>
      </c>
      <c r="V35" s="3">
        <v>7</v>
      </c>
      <c r="W35" s="3" t="s">
        <v>348</v>
      </c>
      <c r="X35" s="3" t="s">
        <v>348</v>
      </c>
      <c r="Y35" s="3" t="s">
        <v>348</v>
      </c>
      <c r="Z35" s="3" t="s">
        <v>348</v>
      </c>
      <c r="AC35" s="3" t="s">
        <v>348</v>
      </c>
      <c r="AF35" s="3" t="s">
        <v>348</v>
      </c>
      <c r="AG35" s="3" t="s">
        <v>348</v>
      </c>
      <c r="AH35" s="3" t="s">
        <v>348</v>
      </c>
      <c r="AI35" s="3" t="s">
        <v>348</v>
      </c>
    </row>
    <row r="36" spans="1:35" s="3" customFormat="1">
      <c r="A36" s="62">
        <v>33</v>
      </c>
      <c r="B36" s="63" t="s">
        <v>33</v>
      </c>
      <c r="C36" s="64" t="s">
        <v>42</v>
      </c>
      <c r="D36" s="63" t="s">
        <v>40</v>
      </c>
      <c r="E36" s="65" t="s">
        <v>36</v>
      </c>
      <c r="F36" s="58"/>
      <c r="G36" s="43">
        <v>34</v>
      </c>
      <c r="H36" s="21">
        <v>34</v>
      </c>
      <c r="I36" s="21"/>
      <c r="J36" s="27">
        <v>34</v>
      </c>
      <c r="P36" s="30">
        <f t="shared" si="0"/>
        <v>34</v>
      </c>
      <c r="Q36" s="31">
        <f t="shared" si="1"/>
        <v>0</v>
      </c>
      <c r="R36" s="44">
        <f t="shared" si="2"/>
        <v>34</v>
      </c>
      <c r="V36" s="3">
        <v>34</v>
      </c>
      <c r="W36" s="3" t="s">
        <v>348</v>
      </c>
      <c r="X36" s="3" t="s">
        <v>348</v>
      </c>
      <c r="Y36" s="3" t="s">
        <v>348</v>
      </c>
      <c r="Z36" s="3" t="s">
        <v>348</v>
      </c>
      <c r="AC36" s="3" t="s">
        <v>348</v>
      </c>
      <c r="AF36" s="3" t="s">
        <v>348</v>
      </c>
      <c r="AG36" s="3" t="s">
        <v>348</v>
      </c>
      <c r="AH36" s="3" t="s">
        <v>348</v>
      </c>
      <c r="AI36" s="3" t="s">
        <v>348</v>
      </c>
    </row>
    <row r="37" spans="1:35" s="3" customFormat="1">
      <c r="A37" s="62">
        <v>34</v>
      </c>
      <c r="B37" s="63" t="s">
        <v>33</v>
      </c>
      <c r="C37" s="64" t="s">
        <v>47</v>
      </c>
      <c r="D37" s="63" t="s">
        <v>40</v>
      </c>
      <c r="E37" s="65" t="s">
        <v>36</v>
      </c>
      <c r="F37" s="58"/>
      <c r="G37" s="43">
        <v>2</v>
      </c>
      <c r="H37" s="21">
        <v>2</v>
      </c>
      <c r="I37" s="21"/>
      <c r="J37" s="27">
        <v>2</v>
      </c>
      <c r="P37" s="30">
        <f t="shared" si="0"/>
        <v>2</v>
      </c>
      <c r="Q37" s="31">
        <f t="shared" si="1"/>
        <v>0</v>
      </c>
      <c r="R37" s="44">
        <f t="shared" si="2"/>
        <v>2</v>
      </c>
      <c r="V37" s="3" t="s">
        <v>348</v>
      </c>
      <c r="W37" s="3" t="s">
        <v>348</v>
      </c>
      <c r="X37" s="3">
        <v>2</v>
      </c>
      <c r="Y37" s="3" t="s">
        <v>348</v>
      </c>
      <c r="Z37" s="3" t="s">
        <v>348</v>
      </c>
      <c r="AC37" s="3" t="s">
        <v>348</v>
      </c>
      <c r="AF37" s="3" t="s">
        <v>348</v>
      </c>
      <c r="AG37" s="3" t="s">
        <v>348</v>
      </c>
      <c r="AH37" s="3" t="s">
        <v>348</v>
      </c>
      <c r="AI37" s="3" t="s">
        <v>348</v>
      </c>
    </row>
    <row r="38" spans="1:35" s="3" customFormat="1">
      <c r="A38" s="62">
        <v>35</v>
      </c>
      <c r="B38" s="63" t="s">
        <v>33</v>
      </c>
      <c r="C38" s="64" t="s">
        <v>48</v>
      </c>
      <c r="D38" s="63" t="s">
        <v>40</v>
      </c>
      <c r="E38" s="65" t="s">
        <v>36</v>
      </c>
      <c r="F38" s="58"/>
      <c r="G38" s="43">
        <v>1</v>
      </c>
      <c r="H38" s="21">
        <v>1</v>
      </c>
      <c r="I38" s="21"/>
      <c r="J38" s="27">
        <v>1</v>
      </c>
      <c r="P38" s="30">
        <f t="shared" si="0"/>
        <v>1</v>
      </c>
      <c r="Q38" s="31">
        <f t="shared" si="1"/>
        <v>0</v>
      </c>
      <c r="R38" s="44">
        <f t="shared" si="2"/>
        <v>1</v>
      </c>
      <c r="V38" s="3" t="s">
        <v>348</v>
      </c>
      <c r="W38" s="3" t="s">
        <v>348</v>
      </c>
      <c r="X38" s="3">
        <v>1</v>
      </c>
      <c r="Y38" s="3" t="s">
        <v>348</v>
      </c>
      <c r="Z38" s="3" t="s">
        <v>348</v>
      </c>
      <c r="AC38" s="3" t="s">
        <v>348</v>
      </c>
      <c r="AF38" s="3" t="s">
        <v>348</v>
      </c>
      <c r="AG38" s="3" t="s">
        <v>348</v>
      </c>
      <c r="AH38" s="3" t="s">
        <v>348</v>
      </c>
      <c r="AI38" s="3" t="s">
        <v>348</v>
      </c>
    </row>
    <row r="39" spans="1:35" s="3" customFormat="1">
      <c r="A39" s="62">
        <v>36</v>
      </c>
      <c r="B39" s="63" t="s">
        <v>33</v>
      </c>
      <c r="C39" s="64" t="s">
        <v>49</v>
      </c>
      <c r="D39" s="63" t="s">
        <v>40</v>
      </c>
      <c r="E39" s="65" t="s">
        <v>36</v>
      </c>
      <c r="F39" s="58"/>
      <c r="G39" s="43">
        <v>1</v>
      </c>
      <c r="H39" s="21">
        <v>1</v>
      </c>
      <c r="I39" s="21"/>
      <c r="J39" s="27">
        <v>1</v>
      </c>
      <c r="P39" s="30">
        <f t="shared" si="0"/>
        <v>1</v>
      </c>
      <c r="Q39" s="31">
        <f t="shared" si="1"/>
        <v>0</v>
      </c>
      <c r="R39" s="44">
        <f t="shared" si="2"/>
        <v>1</v>
      </c>
      <c r="V39" s="3" t="s">
        <v>348</v>
      </c>
      <c r="W39" s="3" t="s">
        <v>348</v>
      </c>
      <c r="X39" s="3">
        <v>1</v>
      </c>
      <c r="Y39" s="3" t="s">
        <v>348</v>
      </c>
      <c r="Z39" s="3" t="s">
        <v>348</v>
      </c>
      <c r="AC39" s="3" t="s">
        <v>348</v>
      </c>
      <c r="AF39" s="3" t="s">
        <v>348</v>
      </c>
      <c r="AG39" s="3" t="s">
        <v>348</v>
      </c>
      <c r="AH39" s="3" t="s">
        <v>348</v>
      </c>
      <c r="AI39" s="3" t="s">
        <v>348</v>
      </c>
    </row>
    <row r="40" spans="1:35" s="3" customFormat="1">
      <c r="A40" s="62">
        <v>37</v>
      </c>
      <c r="B40" s="63" t="s">
        <v>33</v>
      </c>
      <c r="C40" s="64" t="s">
        <v>50</v>
      </c>
      <c r="D40" s="63" t="s">
        <v>40</v>
      </c>
      <c r="E40" s="65" t="s">
        <v>36</v>
      </c>
      <c r="F40" s="58"/>
      <c r="G40" s="43">
        <v>1</v>
      </c>
      <c r="H40" s="21">
        <v>1</v>
      </c>
      <c r="I40" s="21"/>
      <c r="J40" s="27">
        <v>1</v>
      </c>
      <c r="P40" s="30">
        <f t="shared" si="0"/>
        <v>1</v>
      </c>
      <c r="Q40" s="31">
        <f t="shared" si="1"/>
        <v>0</v>
      </c>
      <c r="R40" s="44">
        <f t="shared" si="2"/>
        <v>1</v>
      </c>
      <c r="V40" s="3" t="s">
        <v>348</v>
      </c>
      <c r="W40" s="3" t="s">
        <v>348</v>
      </c>
      <c r="X40" s="3">
        <v>1</v>
      </c>
      <c r="Y40" s="3" t="s">
        <v>348</v>
      </c>
      <c r="Z40" s="3" t="s">
        <v>348</v>
      </c>
      <c r="AC40" s="3" t="s">
        <v>348</v>
      </c>
      <c r="AF40" s="3" t="s">
        <v>348</v>
      </c>
      <c r="AG40" s="3" t="s">
        <v>348</v>
      </c>
      <c r="AH40" s="3" t="s">
        <v>348</v>
      </c>
      <c r="AI40" s="3" t="s">
        <v>348</v>
      </c>
    </row>
    <row r="41" spans="1:35" s="3" customFormat="1">
      <c r="A41" s="62">
        <v>38</v>
      </c>
      <c r="B41" s="63" t="s">
        <v>33</v>
      </c>
      <c r="C41" s="64" t="s">
        <v>51</v>
      </c>
      <c r="D41" s="63" t="s">
        <v>40</v>
      </c>
      <c r="E41" s="65" t="s">
        <v>36</v>
      </c>
      <c r="F41" s="58"/>
      <c r="G41" s="43">
        <v>1</v>
      </c>
      <c r="H41" s="21">
        <v>1</v>
      </c>
      <c r="I41" s="21"/>
      <c r="J41" s="27">
        <v>1</v>
      </c>
      <c r="P41" s="30">
        <f t="shared" si="0"/>
        <v>1</v>
      </c>
      <c r="Q41" s="31">
        <f t="shared" si="1"/>
        <v>0</v>
      </c>
      <c r="R41" s="44">
        <f t="shared" si="2"/>
        <v>1</v>
      </c>
      <c r="V41" s="3" t="s">
        <v>348</v>
      </c>
      <c r="W41" s="3" t="s">
        <v>348</v>
      </c>
      <c r="X41" s="3">
        <v>1</v>
      </c>
      <c r="Y41" s="3" t="s">
        <v>348</v>
      </c>
      <c r="Z41" s="3" t="s">
        <v>348</v>
      </c>
      <c r="AC41" s="3" t="s">
        <v>348</v>
      </c>
      <c r="AF41" s="3" t="s">
        <v>348</v>
      </c>
      <c r="AG41" s="3" t="s">
        <v>348</v>
      </c>
      <c r="AH41" s="3" t="s">
        <v>348</v>
      </c>
      <c r="AI41" s="3" t="s">
        <v>348</v>
      </c>
    </row>
    <row r="42" spans="1:35" s="3" customFormat="1">
      <c r="A42" s="62">
        <v>39</v>
      </c>
      <c r="B42" s="63" t="s">
        <v>33</v>
      </c>
      <c r="C42" s="64" t="s">
        <v>52</v>
      </c>
      <c r="D42" s="63" t="s">
        <v>40</v>
      </c>
      <c r="E42" s="65" t="s">
        <v>36</v>
      </c>
      <c r="F42" s="58"/>
      <c r="G42" s="43">
        <v>8</v>
      </c>
      <c r="H42" s="21">
        <v>8</v>
      </c>
      <c r="I42" s="21"/>
      <c r="J42" s="27">
        <v>8</v>
      </c>
      <c r="P42" s="30">
        <f t="shared" si="0"/>
        <v>8</v>
      </c>
      <c r="Q42" s="31">
        <f t="shared" si="1"/>
        <v>0</v>
      </c>
      <c r="R42" s="44">
        <f t="shared" si="2"/>
        <v>8</v>
      </c>
      <c r="V42" s="3" t="s">
        <v>348</v>
      </c>
      <c r="W42" s="3" t="s">
        <v>348</v>
      </c>
      <c r="X42" s="3">
        <v>8</v>
      </c>
      <c r="Y42" s="3" t="s">
        <v>348</v>
      </c>
      <c r="Z42" s="3" t="s">
        <v>348</v>
      </c>
      <c r="AC42" s="3" t="s">
        <v>348</v>
      </c>
      <c r="AF42" s="3" t="s">
        <v>348</v>
      </c>
      <c r="AG42" s="3" t="s">
        <v>348</v>
      </c>
      <c r="AH42" s="3" t="s">
        <v>348</v>
      </c>
      <c r="AI42" s="3" t="s">
        <v>348</v>
      </c>
    </row>
    <row r="43" spans="1:35" s="3" customFormat="1">
      <c r="A43" s="62">
        <v>40</v>
      </c>
      <c r="B43" s="63" t="s">
        <v>33</v>
      </c>
      <c r="C43" s="64" t="s">
        <v>53</v>
      </c>
      <c r="D43" s="63" t="s">
        <v>54</v>
      </c>
      <c r="E43" s="65" t="s">
        <v>36</v>
      </c>
      <c r="F43" s="58"/>
      <c r="G43" s="43">
        <v>65</v>
      </c>
      <c r="H43" s="21">
        <v>65</v>
      </c>
      <c r="I43" s="21"/>
      <c r="J43" s="39">
        <v>65</v>
      </c>
      <c r="P43" s="30">
        <f t="shared" si="0"/>
        <v>65</v>
      </c>
      <c r="Q43" s="31">
        <f t="shared" si="1"/>
        <v>0</v>
      </c>
      <c r="R43" s="44">
        <f t="shared" si="2"/>
        <v>65</v>
      </c>
      <c r="V43" s="3" t="s">
        <v>348</v>
      </c>
      <c r="W43" s="3" t="s">
        <v>348</v>
      </c>
      <c r="X43" s="3" t="s">
        <v>348</v>
      </c>
      <c r="Y43" s="3">
        <v>65</v>
      </c>
      <c r="Z43" s="3" t="s">
        <v>348</v>
      </c>
      <c r="AC43" s="3" t="s">
        <v>348</v>
      </c>
      <c r="AF43" s="3" t="s">
        <v>348</v>
      </c>
      <c r="AG43" s="3" t="s">
        <v>348</v>
      </c>
      <c r="AH43" s="3" t="s">
        <v>348</v>
      </c>
      <c r="AI43" s="3" t="s">
        <v>348</v>
      </c>
    </row>
    <row r="44" spans="1:35" s="3" customFormat="1">
      <c r="A44" s="62">
        <v>41</v>
      </c>
      <c r="B44" s="63" t="s">
        <v>33</v>
      </c>
      <c r="C44" s="64" t="s">
        <v>55</v>
      </c>
      <c r="D44" s="63" t="s">
        <v>54</v>
      </c>
      <c r="E44" s="65" t="s">
        <v>36</v>
      </c>
      <c r="F44" s="58"/>
      <c r="G44" s="43">
        <v>8</v>
      </c>
      <c r="H44" s="21">
        <v>8</v>
      </c>
      <c r="I44" s="21"/>
      <c r="J44" s="27">
        <v>8</v>
      </c>
      <c r="P44" s="30">
        <f t="shared" si="0"/>
        <v>8</v>
      </c>
      <c r="Q44" s="31">
        <f t="shared" si="1"/>
        <v>0</v>
      </c>
      <c r="R44" s="44">
        <f t="shared" si="2"/>
        <v>8</v>
      </c>
      <c r="V44" s="3" t="s">
        <v>348</v>
      </c>
      <c r="W44" s="3" t="s">
        <v>348</v>
      </c>
      <c r="X44" s="3" t="s">
        <v>348</v>
      </c>
      <c r="Y44" s="3">
        <v>8</v>
      </c>
      <c r="Z44" s="3" t="s">
        <v>348</v>
      </c>
      <c r="AC44" s="3" t="s">
        <v>348</v>
      </c>
      <c r="AF44" s="3" t="s">
        <v>348</v>
      </c>
      <c r="AG44" s="3" t="s">
        <v>348</v>
      </c>
      <c r="AH44" s="3" t="s">
        <v>348</v>
      </c>
      <c r="AI44" s="3" t="s">
        <v>348</v>
      </c>
    </row>
    <row r="45" spans="1:35" s="3" customFormat="1">
      <c r="A45" s="62">
        <v>42</v>
      </c>
      <c r="B45" s="63" t="s">
        <v>33</v>
      </c>
      <c r="C45" s="64" t="s">
        <v>56</v>
      </c>
      <c r="D45" s="63" t="s">
        <v>54</v>
      </c>
      <c r="E45" s="65" t="s">
        <v>36</v>
      </c>
      <c r="F45" s="58"/>
      <c r="G45" s="43">
        <v>385</v>
      </c>
      <c r="H45" s="21">
        <v>395</v>
      </c>
      <c r="I45" s="21">
        <v>16</v>
      </c>
      <c r="J45" s="27">
        <v>379</v>
      </c>
      <c r="P45" s="30">
        <f t="shared" si="0"/>
        <v>379</v>
      </c>
      <c r="Q45" s="31">
        <f t="shared" si="1"/>
        <v>0</v>
      </c>
      <c r="R45" s="44">
        <f t="shared" si="2"/>
        <v>379</v>
      </c>
      <c r="V45" s="3" t="s">
        <v>348</v>
      </c>
      <c r="W45" s="3" t="s">
        <v>348</v>
      </c>
      <c r="X45" s="3" t="s">
        <v>348</v>
      </c>
      <c r="Y45" s="3">
        <v>379</v>
      </c>
      <c r="Z45" s="3" t="s">
        <v>348</v>
      </c>
      <c r="AC45" s="3" t="s">
        <v>348</v>
      </c>
      <c r="AF45" s="3" t="s">
        <v>348</v>
      </c>
      <c r="AG45" s="3" t="s">
        <v>348</v>
      </c>
      <c r="AH45" s="3" t="s">
        <v>348</v>
      </c>
      <c r="AI45" s="3" t="s">
        <v>348</v>
      </c>
    </row>
    <row r="46" spans="1:35" s="3" customFormat="1">
      <c r="A46" s="62">
        <v>43</v>
      </c>
      <c r="B46" s="63" t="s">
        <v>33</v>
      </c>
      <c r="C46" s="64" t="s">
        <v>57</v>
      </c>
      <c r="D46" s="63" t="s">
        <v>54</v>
      </c>
      <c r="E46" s="65" t="s">
        <v>36</v>
      </c>
      <c r="F46" s="58"/>
      <c r="G46" s="43">
        <v>2</v>
      </c>
      <c r="H46" s="21">
        <v>2</v>
      </c>
      <c r="I46" s="21"/>
      <c r="J46" s="27">
        <v>2</v>
      </c>
      <c r="P46" s="30">
        <f t="shared" si="0"/>
        <v>2</v>
      </c>
      <c r="Q46" s="31">
        <f t="shared" si="1"/>
        <v>0</v>
      </c>
      <c r="R46" s="44">
        <f t="shared" si="2"/>
        <v>2</v>
      </c>
      <c r="V46" s="3" t="s">
        <v>348</v>
      </c>
      <c r="W46" s="3" t="s">
        <v>348</v>
      </c>
      <c r="X46" s="3" t="s">
        <v>348</v>
      </c>
      <c r="Y46" s="3">
        <v>2</v>
      </c>
      <c r="Z46" s="3" t="s">
        <v>348</v>
      </c>
      <c r="AC46" s="3" t="s">
        <v>348</v>
      </c>
      <c r="AF46" s="3" t="s">
        <v>348</v>
      </c>
      <c r="AG46" s="3" t="s">
        <v>348</v>
      </c>
      <c r="AH46" s="3" t="s">
        <v>348</v>
      </c>
      <c r="AI46" s="3" t="s">
        <v>348</v>
      </c>
    </row>
    <row r="47" spans="1:35" s="3" customFormat="1">
      <c r="A47" s="62">
        <v>44</v>
      </c>
      <c r="B47" s="63" t="s">
        <v>33</v>
      </c>
      <c r="C47" s="64" t="s">
        <v>58</v>
      </c>
      <c r="D47" s="63" t="s">
        <v>54</v>
      </c>
      <c r="E47" s="65" t="s">
        <v>36</v>
      </c>
      <c r="F47" s="58"/>
      <c r="G47" s="43">
        <v>60</v>
      </c>
      <c r="H47" s="21">
        <v>60</v>
      </c>
      <c r="I47" s="21">
        <v>21</v>
      </c>
      <c r="J47" s="27">
        <v>39</v>
      </c>
      <c r="P47" s="30">
        <f t="shared" si="0"/>
        <v>39</v>
      </c>
      <c r="Q47" s="31">
        <f t="shared" si="1"/>
        <v>0</v>
      </c>
      <c r="R47" s="44">
        <f t="shared" si="2"/>
        <v>39</v>
      </c>
      <c r="V47" s="3" t="s">
        <v>348</v>
      </c>
      <c r="W47" s="3" t="s">
        <v>348</v>
      </c>
      <c r="X47" s="3" t="s">
        <v>348</v>
      </c>
      <c r="Y47" s="3">
        <v>39</v>
      </c>
      <c r="Z47" s="3" t="s">
        <v>348</v>
      </c>
      <c r="AC47" s="3" t="s">
        <v>348</v>
      </c>
      <c r="AF47" s="3" t="s">
        <v>348</v>
      </c>
      <c r="AG47" s="3" t="s">
        <v>348</v>
      </c>
      <c r="AH47" s="3" t="s">
        <v>348</v>
      </c>
      <c r="AI47" s="3" t="s">
        <v>348</v>
      </c>
    </row>
    <row r="48" spans="1:35" s="3" customFormat="1">
      <c r="A48" s="62">
        <v>45</v>
      </c>
      <c r="B48" s="63" t="s">
        <v>33</v>
      </c>
      <c r="C48" s="64" t="s">
        <v>59</v>
      </c>
      <c r="D48" s="63" t="s">
        <v>60</v>
      </c>
      <c r="E48" s="65" t="s">
        <v>36</v>
      </c>
      <c r="F48" s="58"/>
      <c r="G48" s="43">
        <v>31</v>
      </c>
      <c r="H48" s="21">
        <v>32</v>
      </c>
      <c r="I48" s="21">
        <v>8</v>
      </c>
      <c r="J48" s="27">
        <v>24</v>
      </c>
      <c r="P48" s="30">
        <f t="shared" si="0"/>
        <v>24</v>
      </c>
      <c r="Q48" s="31">
        <f t="shared" si="1"/>
        <v>0</v>
      </c>
      <c r="R48" s="44">
        <f t="shared" si="2"/>
        <v>24</v>
      </c>
      <c r="V48" s="3" t="s">
        <v>348</v>
      </c>
      <c r="W48" s="3">
        <v>24</v>
      </c>
      <c r="X48" s="3" t="s">
        <v>348</v>
      </c>
      <c r="Y48" s="3" t="s">
        <v>348</v>
      </c>
      <c r="Z48" s="3" t="s">
        <v>348</v>
      </c>
      <c r="AC48" s="3" t="s">
        <v>348</v>
      </c>
      <c r="AF48" s="3" t="s">
        <v>348</v>
      </c>
      <c r="AG48" s="3" t="s">
        <v>348</v>
      </c>
      <c r="AH48" s="3" t="s">
        <v>348</v>
      </c>
      <c r="AI48" s="3" t="s">
        <v>348</v>
      </c>
    </row>
    <row r="49" spans="1:35" s="3" customFormat="1">
      <c r="A49" s="62">
        <v>46</v>
      </c>
      <c r="B49" s="63" t="s">
        <v>33</v>
      </c>
      <c r="C49" s="64" t="s">
        <v>61</v>
      </c>
      <c r="D49" s="63" t="s">
        <v>60</v>
      </c>
      <c r="E49" s="65" t="s">
        <v>36</v>
      </c>
      <c r="F49" s="58"/>
      <c r="G49" s="43">
        <v>32</v>
      </c>
      <c r="H49" s="21">
        <v>33</v>
      </c>
      <c r="I49" s="21"/>
      <c r="J49" s="27">
        <v>33</v>
      </c>
      <c r="P49" s="30">
        <f t="shared" si="0"/>
        <v>33</v>
      </c>
      <c r="Q49" s="31">
        <f t="shared" si="1"/>
        <v>0</v>
      </c>
      <c r="R49" s="44">
        <f t="shared" si="2"/>
        <v>33</v>
      </c>
      <c r="V49" s="3" t="s">
        <v>348</v>
      </c>
      <c r="W49" s="3">
        <v>33</v>
      </c>
      <c r="X49" s="3" t="s">
        <v>348</v>
      </c>
      <c r="Y49" s="3" t="s">
        <v>348</v>
      </c>
      <c r="Z49" s="3" t="s">
        <v>348</v>
      </c>
      <c r="AC49" s="3" t="s">
        <v>348</v>
      </c>
      <c r="AF49" s="3" t="s">
        <v>348</v>
      </c>
      <c r="AG49" s="3" t="s">
        <v>348</v>
      </c>
      <c r="AH49" s="3" t="s">
        <v>348</v>
      </c>
      <c r="AI49" s="3" t="s">
        <v>348</v>
      </c>
    </row>
    <row r="50" spans="1:35" s="3" customFormat="1">
      <c r="A50" s="62">
        <v>47</v>
      </c>
      <c r="B50" s="63" t="s">
        <v>33</v>
      </c>
      <c r="C50" s="64" t="s">
        <v>62</v>
      </c>
      <c r="D50" s="63" t="s">
        <v>60</v>
      </c>
      <c r="E50" s="65" t="s">
        <v>36</v>
      </c>
      <c r="F50" s="58"/>
      <c r="G50" s="43">
        <v>25</v>
      </c>
      <c r="H50" s="21">
        <v>25</v>
      </c>
      <c r="I50" s="21">
        <v>25</v>
      </c>
      <c r="J50" s="27">
        <v>0</v>
      </c>
      <c r="P50" s="30">
        <f t="shared" si="0"/>
        <v>0</v>
      </c>
      <c r="Q50" s="31">
        <f t="shared" si="1"/>
        <v>0</v>
      </c>
      <c r="R50" s="44">
        <f t="shared" si="2"/>
        <v>0</v>
      </c>
      <c r="V50" s="3" t="s">
        <v>348</v>
      </c>
      <c r="W50" s="3" t="s">
        <v>348</v>
      </c>
      <c r="X50" s="3" t="s">
        <v>348</v>
      </c>
      <c r="Y50" s="3" t="s">
        <v>348</v>
      </c>
      <c r="Z50" s="3" t="s">
        <v>348</v>
      </c>
      <c r="AC50" s="3" t="s">
        <v>348</v>
      </c>
      <c r="AF50" s="3" t="s">
        <v>348</v>
      </c>
      <c r="AG50" s="3" t="s">
        <v>348</v>
      </c>
      <c r="AH50" s="3" t="s">
        <v>348</v>
      </c>
      <c r="AI50" s="3" t="s">
        <v>348</v>
      </c>
    </row>
    <row r="51" spans="1:35" s="3" customFormat="1">
      <c r="A51" s="62">
        <v>48</v>
      </c>
      <c r="B51" s="63" t="s">
        <v>33</v>
      </c>
      <c r="C51" s="64" t="s">
        <v>63</v>
      </c>
      <c r="D51" s="63" t="s">
        <v>60</v>
      </c>
      <c r="E51" s="65" t="s">
        <v>36</v>
      </c>
      <c r="F51" s="58"/>
      <c r="G51" s="43">
        <v>3</v>
      </c>
      <c r="H51" s="21">
        <v>3</v>
      </c>
      <c r="I51" s="21">
        <v>3</v>
      </c>
      <c r="J51" s="27">
        <v>0</v>
      </c>
      <c r="P51" s="30">
        <f t="shared" si="0"/>
        <v>0</v>
      </c>
      <c r="Q51" s="31">
        <f t="shared" si="1"/>
        <v>0</v>
      </c>
      <c r="R51" s="44">
        <f t="shared" si="2"/>
        <v>0</v>
      </c>
      <c r="V51" s="3" t="s">
        <v>348</v>
      </c>
      <c r="W51" s="3" t="s">
        <v>348</v>
      </c>
      <c r="X51" s="3" t="s">
        <v>348</v>
      </c>
      <c r="Y51" s="3" t="s">
        <v>348</v>
      </c>
      <c r="Z51" s="3" t="s">
        <v>348</v>
      </c>
      <c r="AC51" s="3" t="s">
        <v>348</v>
      </c>
      <c r="AF51" s="3" t="s">
        <v>348</v>
      </c>
      <c r="AG51" s="3" t="s">
        <v>348</v>
      </c>
      <c r="AH51" s="3" t="s">
        <v>348</v>
      </c>
      <c r="AI51" s="3" t="s">
        <v>348</v>
      </c>
    </row>
    <row r="52" spans="1:35" s="3" customFormat="1">
      <c r="A52" s="62">
        <v>49</v>
      </c>
      <c r="B52" s="63" t="s">
        <v>33</v>
      </c>
      <c r="C52" s="64" t="s">
        <v>64</v>
      </c>
      <c r="D52" s="63" t="s">
        <v>60</v>
      </c>
      <c r="E52" s="65" t="s">
        <v>36</v>
      </c>
      <c r="F52" s="58"/>
      <c r="G52" s="43">
        <v>5</v>
      </c>
      <c r="H52" s="21">
        <v>5</v>
      </c>
      <c r="I52" s="21">
        <v>5</v>
      </c>
      <c r="J52" s="27">
        <v>0</v>
      </c>
      <c r="P52" s="30">
        <f t="shared" si="0"/>
        <v>0</v>
      </c>
      <c r="Q52" s="31">
        <f t="shared" si="1"/>
        <v>0</v>
      </c>
      <c r="R52" s="44">
        <f t="shared" si="2"/>
        <v>0</v>
      </c>
      <c r="V52" s="3" t="s">
        <v>348</v>
      </c>
      <c r="W52" s="3" t="s">
        <v>348</v>
      </c>
      <c r="X52" s="3" t="s">
        <v>348</v>
      </c>
      <c r="Y52" s="3" t="s">
        <v>348</v>
      </c>
      <c r="Z52" s="3" t="s">
        <v>348</v>
      </c>
      <c r="AC52" s="3" t="s">
        <v>348</v>
      </c>
      <c r="AF52" s="3" t="s">
        <v>348</v>
      </c>
      <c r="AG52" s="3" t="s">
        <v>348</v>
      </c>
      <c r="AH52" s="3" t="s">
        <v>348</v>
      </c>
      <c r="AI52" s="3" t="s">
        <v>348</v>
      </c>
    </row>
    <row r="53" spans="1:35" s="3" customFormat="1">
      <c r="A53" s="62">
        <v>50</v>
      </c>
      <c r="B53" s="63" t="s">
        <v>65</v>
      </c>
      <c r="C53" s="64" t="s">
        <v>66</v>
      </c>
      <c r="D53" s="63" t="s">
        <v>35</v>
      </c>
      <c r="E53" s="65" t="s">
        <v>36</v>
      </c>
      <c r="F53" s="58"/>
      <c r="G53" s="43">
        <v>3</v>
      </c>
      <c r="H53" s="21">
        <v>3</v>
      </c>
      <c r="I53" s="21"/>
      <c r="J53" s="27">
        <v>3</v>
      </c>
      <c r="P53" s="30">
        <f t="shared" si="0"/>
        <v>3</v>
      </c>
      <c r="Q53" s="31">
        <f t="shared" si="1"/>
        <v>0</v>
      </c>
      <c r="R53" s="44">
        <f t="shared" si="2"/>
        <v>3</v>
      </c>
      <c r="V53" s="3" t="s">
        <v>348</v>
      </c>
      <c r="W53" s="3" t="s">
        <v>348</v>
      </c>
      <c r="X53" s="3" t="s">
        <v>348</v>
      </c>
      <c r="Y53" s="3">
        <v>3</v>
      </c>
      <c r="Z53" s="3" t="s">
        <v>348</v>
      </c>
      <c r="AC53" s="3" t="s">
        <v>348</v>
      </c>
      <c r="AF53" s="3" t="s">
        <v>348</v>
      </c>
      <c r="AG53" s="3" t="s">
        <v>348</v>
      </c>
      <c r="AH53" s="3" t="s">
        <v>348</v>
      </c>
      <c r="AI53" s="3" t="s">
        <v>348</v>
      </c>
    </row>
    <row r="54" spans="1:35" s="3" customFormat="1">
      <c r="A54" s="62">
        <v>51</v>
      </c>
      <c r="B54" s="63" t="s">
        <v>65</v>
      </c>
      <c r="C54" s="64" t="s">
        <v>67</v>
      </c>
      <c r="D54" s="63" t="s">
        <v>35</v>
      </c>
      <c r="E54" s="65" t="s">
        <v>36</v>
      </c>
      <c r="F54" s="58"/>
      <c r="G54" s="43">
        <v>1</v>
      </c>
      <c r="H54" s="21">
        <v>1</v>
      </c>
      <c r="I54" s="21"/>
      <c r="J54" s="27">
        <v>1</v>
      </c>
      <c r="P54" s="30">
        <f t="shared" si="0"/>
        <v>1</v>
      </c>
      <c r="Q54" s="31">
        <f t="shared" si="1"/>
        <v>0</v>
      </c>
      <c r="R54" s="44">
        <f t="shared" si="2"/>
        <v>1</v>
      </c>
      <c r="V54" s="3" t="s">
        <v>348</v>
      </c>
      <c r="W54" s="3" t="s">
        <v>348</v>
      </c>
      <c r="X54" s="3" t="s">
        <v>348</v>
      </c>
      <c r="Y54" s="3">
        <v>1</v>
      </c>
      <c r="Z54" s="3" t="s">
        <v>348</v>
      </c>
      <c r="AC54" s="3" t="s">
        <v>348</v>
      </c>
      <c r="AF54" s="3" t="s">
        <v>348</v>
      </c>
      <c r="AG54" s="3" t="s">
        <v>348</v>
      </c>
      <c r="AH54" s="3" t="s">
        <v>348</v>
      </c>
      <c r="AI54" s="3" t="s">
        <v>348</v>
      </c>
    </row>
    <row r="55" spans="1:35" s="3" customFormat="1">
      <c r="A55" s="62">
        <v>52</v>
      </c>
      <c r="B55" s="63" t="s">
        <v>65</v>
      </c>
      <c r="C55" s="64" t="s">
        <v>68</v>
      </c>
      <c r="D55" s="63" t="s">
        <v>35</v>
      </c>
      <c r="E55" s="65" t="s">
        <v>36</v>
      </c>
      <c r="F55" s="58"/>
      <c r="G55" s="43">
        <f>26+2</f>
        <v>28</v>
      </c>
      <c r="H55" s="21">
        <f>26+2</f>
        <v>28</v>
      </c>
      <c r="I55" s="21">
        <v>2</v>
      </c>
      <c r="J55" s="39">
        <v>26</v>
      </c>
      <c r="P55" s="30">
        <f t="shared" si="0"/>
        <v>26</v>
      </c>
      <c r="Q55" s="31">
        <f t="shared" si="1"/>
        <v>0</v>
      </c>
      <c r="R55" s="44">
        <f t="shared" si="2"/>
        <v>26</v>
      </c>
      <c r="V55" s="3" t="s">
        <v>348</v>
      </c>
      <c r="W55" s="3" t="s">
        <v>348</v>
      </c>
      <c r="X55" s="3" t="s">
        <v>348</v>
      </c>
      <c r="Y55" s="3">
        <v>26</v>
      </c>
      <c r="Z55" s="3" t="s">
        <v>348</v>
      </c>
      <c r="AC55" s="3" t="s">
        <v>348</v>
      </c>
      <c r="AF55" s="3" t="s">
        <v>348</v>
      </c>
      <c r="AG55" s="3" t="s">
        <v>348</v>
      </c>
      <c r="AH55" s="3" t="s">
        <v>348</v>
      </c>
      <c r="AI55" s="3" t="s">
        <v>348</v>
      </c>
    </row>
    <row r="56" spans="1:35" s="3" customFormat="1">
      <c r="A56" s="62">
        <v>53</v>
      </c>
      <c r="B56" s="63" t="s">
        <v>65</v>
      </c>
      <c r="C56" s="64" t="s">
        <v>69</v>
      </c>
      <c r="D56" s="63" t="s">
        <v>35</v>
      </c>
      <c r="E56" s="65" t="s">
        <v>36</v>
      </c>
      <c r="F56" s="58"/>
      <c r="G56" s="43">
        <v>1</v>
      </c>
      <c r="H56" s="21">
        <v>1</v>
      </c>
      <c r="I56" s="21"/>
      <c r="J56" s="27">
        <v>1</v>
      </c>
      <c r="P56" s="30">
        <f t="shared" si="0"/>
        <v>1</v>
      </c>
      <c r="Q56" s="31">
        <f t="shared" si="1"/>
        <v>0</v>
      </c>
      <c r="R56" s="44">
        <f t="shared" si="2"/>
        <v>1</v>
      </c>
      <c r="V56" s="3" t="s">
        <v>348</v>
      </c>
      <c r="W56" s="3" t="s">
        <v>348</v>
      </c>
      <c r="X56" s="3" t="s">
        <v>348</v>
      </c>
      <c r="Y56" s="3">
        <v>1</v>
      </c>
      <c r="Z56" s="3" t="s">
        <v>348</v>
      </c>
      <c r="AC56" s="3" t="s">
        <v>348</v>
      </c>
      <c r="AF56" s="3" t="s">
        <v>348</v>
      </c>
      <c r="AG56" s="3" t="s">
        <v>348</v>
      </c>
      <c r="AH56" s="3" t="s">
        <v>348</v>
      </c>
      <c r="AI56" s="3" t="s">
        <v>348</v>
      </c>
    </row>
    <row r="57" spans="1:35" s="3" customFormat="1">
      <c r="A57" s="62">
        <v>54</v>
      </c>
      <c r="B57" s="63" t="s">
        <v>65</v>
      </c>
      <c r="C57" s="64" t="s">
        <v>70</v>
      </c>
      <c r="D57" s="63" t="s">
        <v>40</v>
      </c>
      <c r="E57" s="65" t="s">
        <v>36</v>
      </c>
      <c r="F57" s="58"/>
      <c r="G57" s="43">
        <v>25</v>
      </c>
      <c r="H57" s="21">
        <v>25</v>
      </c>
      <c r="I57" s="21">
        <v>1</v>
      </c>
      <c r="J57" s="39">
        <v>24</v>
      </c>
      <c r="P57" s="30">
        <f t="shared" si="0"/>
        <v>24</v>
      </c>
      <c r="Q57" s="31">
        <f t="shared" si="1"/>
        <v>0</v>
      </c>
      <c r="R57" s="44">
        <f t="shared" si="2"/>
        <v>24</v>
      </c>
      <c r="V57" s="3">
        <v>22</v>
      </c>
      <c r="W57" s="3" t="s">
        <v>348</v>
      </c>
      <c r="X57" s="3" t="s">
        <v>348</v>
      </c>
      <c r="Y57" s="3" t="s">
        <v>348</v>
      </c>
      <c r="Z57" s="3">
        <v>2</v>
      </c>
      <c r="AC57" s="3" t="s">
        <v>348</v>
      </c>
      <c r="AF57" s="3" t="s">
        <v>348</v>
      </c>
      <c r="AG57" s="3" t="s">
        <v>348</v>
      </c>
      <c r="AH57" s="3" t="s">
        <v>348</v>
      </c>
      <c r="AI57" s="3" t="s">
        <v>348</v>
      </c>
    </row>
    <row r="58" spans="1:35" s="3" customFormat="1">
      <c r="A58" s="62">
        <v>55</v>
      </c>
      <c r="B58" s="63" t="s">
        <v>65</v>
      </c>
      <c r="C58" s="64" t="s">
        <v>71</v>
      </c>
      <c r="D58" s="63" t="s">
        <v>40</v>
      </c>
      <c r="E58" s="65" t="s">
        <v>36</v>
      </c>
      <c r="F58" s="58"/>
      <c r="G58" s="43">
        <v>1</v>
      </c>
      <c r="H58" s="21">
        <v>1</v>
      </c>
      <c r="I58" s="21"/>
      <c r="J58" s="27">
        <v>1</v>
      </c>
      <c r="P58" s="30">
        <f t="shared" si="0"/>
        <v>1</v>
      </c>
      <c r="Q58" s="31">
        <f t="shared" si="1"/>
        <v>0</v>
      </c>
      <c r="R58" s="44">
        <f t="shared" si="2"/>
        <v>1</v>
      </c>
      <c r="V58" s="3">
        <v>1</v>
      </c>
      <c r="W58" s="3" t="s">
        <v>348</v>
      </c>
      <c r="X58" s="3" t="s">
        <v>348</v>
      </c>
      <c r="Y58" s="3" t="s">
        <v>348</v>
      </c>
      <c r="Z58" s="3" t="s">
        <v>348</v>
      </c>
      <c r="AC58" s="3" t="s">
        <v>348</v>
      </c>
      <c r="AF58" s="3" t="s">
        <v>348</v>
      </c>
      <c r="AG58" s="3" t="s">
        <v>348</v>
      </c>
      <c r="AH58" s="3" t="s">
        <v>348</v>
      </c>
      <c r="AI58" s="3" t="s">
        <v>348</v>
      </c>
    </row>
    <row r="59" spans="1:35" s="3" customFormat="1">
      <c r="A59" s="62">
        <v>56</v>
      </c>
      <c r="B59" s="63" t="s">
        <v>65</v>
      </c>
      <c r="C59" s="64" t="s">
        <v>72</v>
      </c>
      <c r="D59" s="63" t="s">
        <v>40</v>
      </c>
      <c r="E59" s="65" t="s">
        <v>36</v>
      </c>
      <c r="F59" s="58"/>
      <c r="G59" s="43">
        <v>9</v>
      </c>
      <c r="H59" s="21">
        <v>9</v>
      </c>
      <c r="I59" s="21">
        <v>9</v>
      </c>
      <c r="J59" s="27">
        <v>0</v>
      </c>
      <c r="P59" s="30">
        <f t="shared" si="0"/>
        <v>0</v>
      </c>
      <c r="Q59" s="31">
        <f t="shared" si="1"/>
        <v>0</v>
      </c>
      <c r="R59" s="44">
        <f t="shared" si="2"/>
        <v>0</v>
      </c>
      <c r="V59" s="3" t="s">
        <v>348</v>
      </c>
      <c r="W59" s="3" t="s">
        <v>348</v>
      </c>
      <c r="X59" s="3" t="s">
        <v>348</v>
      </c>
      <c r="Y59" s="3" t="s">
        <v>348</v>
      </c>
      <c r="Z59" s="3" t="s">
        <v>348</v>
      </c>
      <c r="AC59" s="3" t="s">
        <v>348</v>
      </c>
      <c r="AF59" s="3" t="s">
        <v>348</v>
      </c>
      <c r="AG59" s="3" t="s">
        <v>348</v>
      </c>
      <c r="AH59" s="3" t="s">
        <v>348</v>
      </c>
      <c r="AI59" s="3" t="s">
        <v>348</v>
      </c>
    </row>
    <row r="60" spans="1:35" s="3" customFormat="1">
      <c r="A60" s="62">
        <v>57</v>
      </c>
      <c r="B60" s="63" t="s">
        <v>65</v>
      </c>
      <c r="C60" s="64" t="s">
        <v>73</v>
      </c>
      <c r="D60" s="63" t="s">
        <v>40</v>
      </c>
      <c r="E60" s="65" t="s">
        <v>36</v>
      </c>
      <c r="F60" s="58"/>
      <c r="G60" s="43">
        <v>5</v>
      </c>
      <c r="H60" s="21">
        <v>5</v>
      </c>
      <c r="I60" s="21">
        <v>5</v>
      </c>
      <c r="J60" s="27">
        <v>0</v>
      </c>
      <c r="P60" s="30">
        <f t="shared" si="0"/>
        <v>0</v>
      </c>
      <c r="Q60" s="31">
        <f t="shared" si="1"/>
        <v>0</v>
      </c>
      <c r="R60" s="44">
        <f t="shared" si="2"/>
        <v>0</v>
      </c>
      <c r="V60" s="3" t="s">
        <v>348</v>
      </c>
      <c r="W60" s="3" t="s">
        <v>348</v>
      </c>
      <c r="X60" s="3" t="s">
        <v>348</v>
      </c>
      <c r="Y60" s="3" t="s">
        <v>348</v>
      </c>
      <c r="Z60" s="3" t="s">
        <v>348</v>
      </c>
      <c r="AC60" s="3" t="s">
        <v>348</v>
      </c>
      <c r="AF60" s="3" t="s">
        <v>348</v>
      </c>
      <c r="AG60" s="3" t="s">
        <v>348</v>
      </c>
      <c r="AH60" s="3" t="s">
        <v>348</v>
      </c>
      <c r="AI60" s="3" t="s">
        <v>348</v>
      </c>
    </row>
    <row r="61" spans="1:35" s="3" customFormat="1">
      <c r="A61" s="62">
        <v>58</v>
      </c>
      <c r="B61" s="63" t="s">
        <v>65</v>
      </c>
      <c r="C61" s="64" t="s">
        <v>74</v>
      </c>
      <c r="D61" s="63" t="s">
        <v>40</v>
      </c>
      <c r="E61" s="65" t="s">
        <v>36</v>
      </c>
      <c r="F61" s="58"/>
      <c r="G61" s="43">
        <v>1</v>
      </c>
      <c r="H61" s="21">
        <v>1</v>
      </c>
      <c r="I61" s="21">
        <v>1</v>
      </c>
      <c r="J61" s="27">
        <v>0</v>
      </c>
      <c r="P61" s="30">
        <f t="shared" si="0"/>
        <v>0</v>
      </c>
      <c r="Q61" s="31">
        <f t="shared" si="1"/>
        <v>0</v>
      </c>
      <c r="R61" s="44">
        <f t="shared" si="2"/>
        <v>0</v>
      </c>
      <c r="V61" s="3" t="s">
        <v>348</v>
      </c>
      <c r="W61" s="3" t="s">
        <v>348</v>
      </c>
      <c r="X61" s="3" t="s">
        <v>348</v>
      </c>
      <c r="Y61" s="3" t="s">
        <v>348</v>
      </c>
      <c r="Z61" s="3" t="s">
        <v>348</v>
      </c>
      <c r="AC61" s="3" t="s">
        <v>348</v>
      </c>
      <c r="AF61" s="3" t="s">
        <v>348</v>
      </c>
      <c r="AG61" s="3" t="s">
        <v>348</v>
      </c>
      <c r="AH61" s="3" t="s">
        <v>348</v>
      </c>
      <c r="AI61" s="3" t="s">
        <v>348</v>
      </c>
    </row>
    <row r="62" spans="1:35" s="3" customFormat="1">
      <c r="A62" s="62">
        <v>59</v>
      </c>
      <c r="B62" s="63" t="s">
        <v>65</v>
      </c>
      <c r="C62" s="64" t="s">
        <v>75</v>
      </c>
      <c r="D62" s="63" t="s">
        <v>40</v>
      </c>
      <c r="E62" s="65" t="s">
        <v>36</v>
      </c>
      <c r="F62" s="58"/>
      <c r="G62" s="43">
        <v>3</v>
      </c>
      <c r="H62" s="21">
        <v>3</v>
      </c>
      <c r="I62" s="21"/>
      <c r="J62" s="27">
        <v>3</v>
      </c>
      <c r="P62" s="30">
        <f t="shared" si="0"/>
        <v>3</v>
      </c>
      <c r="Q62" s="31">
        <f t="shared" si="1"/>
        <v>0</v>
      </c>
      <c r="R62" s="44">
        <f t="shared" si="2"/>
        <v>3</v>
      </c>
      <c r="V62" s="3" t="s">
        <v>348</v>
      </c>
      <c r="W62" s="3" t="s">
        <v>348</v>
      </c>
      <c r="X62" s="3">
        <v>3</v>
      </c>
      <c r="Y62" s="3" t="s">
        <v>348</v>
      </c>
      <c r="Z62" s="3" t="s">
        <v>348</v>
      </c>
      <c r="AC62" s="3" t="s">
        <v>348</v>
      </c>
      <c r="AF62" s="3" t="s">
        <v>348</v>
      </c>
      <c r="AG62" s="3" t="s">
        <v>348</v>
      </c>
      <c r="AH62" s="3" t="s">
        <v>348</v>
      </c>
      <c r="AI62" s="3" t="s">
        <v>348</v>
      </c>
    </row>
    <row r="63" spans="1:35" s="3" customFormat="1">
      <c r="A63" s="62">
        <v>60</v>
      </c>
      <c r="B63" s="63" t="s">
        <v>65</v>
      </c>
      <c r="C63" s="64" t="s">
        <v>76</v>
      </c>
      <c r="D63" s="63" t="s">
        <v>40</v>
      </c>
      <c r="E63" s="65" t="s">
        <v>36</v>
      </c>
      <c r="F63" s="58"/>
      <c r="G63" s="43">
        <v>4</v>
      </c>
      <c r="H63" s="21">
        <v>4</v>
      </c>
      <c r="I63" s="21"/>
      <c r="J63" s="27">
        <v>4</v>
      </c>
      <c r="P63" s="30">
        <f t="shared" si="0"/>
        <v>4</v>
      </c>
      <c r="Q63" s="31">
        <f t="shared" si="1"/>
        <v>0</v>
      </c>
      <c r="R63" s="44">
        <f t="shared" si="2"/>
        <v>4</v>
      </c>
      <c r="V63" s="3" t="s">
        <v>348</v>
      </c>
      <c r="W63" s="3" t="s">
        <v>348</v>
      </c>
      <c r="X63" s="3">
        <v>4</v>
      </c>
      <c r="Y63" s="3" t="s">
        <v>348</v>
      </c>
      <c r="Z63" s="3" t="s">
        <v>348</v>
      </c>
      <c r="AC63" s="3" t="s">
        <v>348</v>
      </c>
      <c r="AF63" s="3" t="s">
        <v>348</v>
      </c>
      <c r="AG63" s="3" t="s">
        <v>348</v>
      </c>
      <c r="AH63" s="3" t="s">
        <v>348</v>
      </c>
      <c r="AI63" s="3" t="s">
        <v>348</v>
      </c>
    </row>
    <row r="64" spans="1:35" s="3" customFormat="1">
      <c r="A64" s="62">
        <v>61</v>
      </c>
      <c r="B64" s="63" t="s">
        <v>65</v>
      </c>
      <c r="C64" s="64" t="s">
        <v>77</v>
      </c>
      <c r="D64" s="63" t="s">
        <v>40</v>
      </c>
      <c r="E64" s="65" t="s">
        <v>36</v>
      </c>
      <c r="F64" s="58"/>
      <c r="G64" s="43">
        <v>1</v>
      </c>
      <c r="H64" s="21">
        <v>1</v>
      </c>
      <c r="I64" s="21"/>
      <c r="J64" s="27">
        <v>1</v>
      </c>
      <c r="P64" s="30">
        <f t="shared" si="0"/>
        <v>1</v>
      </c>
      <c r="Q64" s="31">
        <f t="shared" si="1"/>
        <v>0</v>
      </c>
      <c r="R64" s="44">
        <f t="shared" si="2"/>
        <v>1</v>
      </c>
      <c r="V64" s="3" t="s">
        <v>348</v>
      </c>
      <c r="W64" s="3" t="s">
        <v>348</v>
      </c>
      <c r="X64" s="3">
        <v>1</v>
      </c>
      <c r="Y64" s="3" t="s">
        <v>348</v>
      </c>
      <c r="Z64" s="3" t="s">
        <v>348</v>
      </c>
      <c r="AC64" s="3" t="s">
        <v>348</v>
      </c>
      <c r="AF64" s="3" t="s">
        <v>348</v>
      </c>
      <c r="AG64" s="3" t="s">
        <v>348</v>
      </c>
      <c r="AH64" s="3" t="s">
        <v>348</v>
      </c>
      <c r="AI64" s="3" t="s">
        <v>348</v>
      </c>
    </row>
    <row r="65" spans="1:39" s="3" customFormat="1">
      <c r="A65" s="62">
        <v>62</v>
      </c>
      <c r="B65" s="63" t="s">
        <v>65</v>
      </c>
      <c r="C65" s="64" t="s">
        <v>78</v>
      </c>
      <c r="D65" s="63" t="s">
        <v>40</v>
      </c>
      <c r="E65" s="65" t="s">
        <v>36</v>
      </c>
      <c r="F65" s="58"/>
      <c r="G65" s="43">
        <v>3</v>
      </c>
      <c r="H65" s="21">
        <v>3</v>
      </c>
      <c r="I65" s="21"/>
      <c r="J65" s="27">
        <v>3</v>
      </c>
      <c r="P65" s="30">
        <f t="shared" si="0"/>
        <v>3</v>
      </c>
      <c r="Q65" s="31">
        <f t="shared" si="1"/>
        <v>0</v>
      </c>
      <c r="R65" s="44">
        <f t="shared" si="2"/>
        <v>3</v>
      </c>
      <c r="V65" s="3" t="s">
        <v>348</v>
      </c>
      <c r="W65" s="3" t="s">
        <v>348</v>
      </c>
      <c r="X65" s="3">
        <v>3</v>
      </c>
      <c r="Y65" s="3" t="s">
        <v>348</v>
      </c>
      <c r="Z65" s="3" t="s">
        <v>348</v>
      </c>
      <c r="AC65" s="3" t="s">
        <v>348</v>
      </c>
      <c r="AF65" s="3" t="s">
        <v>348</v>
      </c>
      <c r="AG65" s="3" t="s">
        <v>348</v>
      </c>
      <c r="AH65" s="3" t="s">
        <v>348</v>
      </c>
      <c r="AI65" s="3" t="s">
        <v>348</v>
      </c>
    </row>
    <row r="66" spans="1:39" s="3" customFormat="1">
      <c r="A66" s="62">
        <v>63</v>
      </c>
      <c r="B66" s="63" t="s">
        <v>65</v>
      </c>
      <c r="C66" s="64" t="s">
        <v>79</v>
      </c>
      <c r="D66" s="63" t="s">
        <v>40</v>
      </c>
      <c r="E66" s="65" t="s">
        <v>36</v>
      </c>
      <c r="F66" s="58"/>
      <c r="G66" s="43">
        <v>4</v>
      </c>
      <c r="H66" s="21">
        <v>4</v>
      </c>
      <c r="I66" s="21"/>
      <c r="J66" s="27">
        <v>4</v>
      </c>
      <c r="P66" s="30">
        <f t="shared" si="0"/>
        <v>4</v>
      </c>
      <c r="Q66" s="31">
        <f t="shared" si="1"/>
        <v>0</v>
      </c>
      <c r="R66" s="44">
        <f t="shared" si="2"/>
        <v>4</v>
      </c>
      <c r="V66" s="3" t="s">
        <v>348</v>
      </c>
      <c r="W66" s="3" t="s">
        <v>348</v>
      </c>
      <c r="X66" s="3">
        <v>4</v>
      </c>
      <c r="Y66" s="3" t="s">
        <v>348</v>
      </c>
      <c r="Z66" s="3" t="s">
        <v>348</v>
      </c>
      <c r="AC66" s="3" t="s">
        <v>348</v>
      </c>
      <c r="AF66" s="3" t="s">
        <v>348</v>
      </c>
      <c r="AG66" s="3" t="s">
        <v>348</v>
      </c>
      <c r="AH66" s="3" t="s">
        <v>348</v>
      </c>
      <c r="AI66" s="3" t="s">
        <v>348</v>
      </c>
    </row>
    <row r="67" spans="1:39" s="3" customFormat="1">
      <c r="A67" s="62">
        <v>64</v>
      </c>
      <c r="B67" s="63" t="s">
        <v>65</v>
      </c>
      <c r="C67" s="64" t="s">
        <v>80</v>
      </c>
      <c r="D67" s="63" t="s">
        <v>54</v>
      </c>
      <c r="E67" s="65" t="s">
        <v>36</v>
      </c>
      <c r="F67" s="58"/>
      <c r="G67" s="43">
        <v>1</v>
      </c>
      <c r="H67" s="21">
        <v>1</v>
      </c>
      <c r="I67" s="21"/>
      <c r="J67" s="27">
        <v>1</v>
      </c>
      <c r="P67" s="30">
        <f t="shared" si="0"/>
        <v>1</v>
      </c>
      <c r="Q67" s="31">
        <f t="shared" si="1"/>
        <v>0</v>
      </c>
      <c r="R67" s="44">
        <f t="shared" si="2"/>
        <v>1</v>
      </c>
      <c r="V67" s="3" t="s">
        <v>348</v>
      </c>
      <c r="W67" s="3" t="s">
        <v>348</v>
      </c>
      <c r="X67" s="3" t="s">
        <v>348</v>
      </c>
      <c r="Y67" s="3">
        <v>1</v>
      </c>
      <c r="Z67" s="3" t="s">
        <v>348</v>
      </c>
      <c r="AC67" s="3" t="s">
        <v>348</v>
      </c>
      <c r="AF67" s="3" t="s">
        <v>348</v>
      </c>
      <c r="AG67" s="3" t="s">
        <v>348</v>
      </c>
      <c r="AH67" s="3" t="s">
        <v>348</v>
      </c>
      <c r="AI67" s="3" t="s">
        <v>348</v>
      </c>
    </row>
    <row r="68" spans="1:39" s="3" customFormat="1">
      <c r="A68" s="62">
        <v>65</v>
      </c>
      <c r="B68" s="63" t="s">
        <v>65</v>
      </c>
      <c r="C68" s="64" t="s">
        <v>81</v>
      </c>
      <c r="D68" s="63" t="s">
        <v>54</v>
      </c>
      <c r="E68" s="65" t="s">
        <v>36</v>
      </c>
      <c r="F68" s="58"/>
      <c r="G68" s="43">
        <v>26</v>
      </c>
      <c r="H68" s="21">
        <v>28</v>
      </c>
      <c r="I68" s="21">
        <v>2</v>
      </c>
      <c r="J68" s="27">
        <v>26</v>
      </c>
      <c r="P68" s="30">
        <f t="shared" si="0"/>
        <v>26</v>
      </c>
      <c r="Q68" s="31">
        <f t="shared" si="1"/>
        <v>0</v>
      </c>
      <c r="R68" s="44">
        <f t="shared" si="2"/>
        <v>26</v>
      </c>
      <c r="V68" s="3" t="s">
        <v>348</v>
      </c>
      <c r="W68" s="3" t="s">
        <v>348</v>
      </c>
      <c r="X68" s="3" t="s">
        <v>348</v>
      </c>
      <c r="Y68" s="3" t="s">
        <v>348</v>
      </c>
      <c r="Z68" s="3" t="s">
        <v>348</v>
      </c>
      <c r="AB68" s="3">
        <v>26</v>
      </c>
      <c r="AC68" s="3" t="s">
        <v>348</v>
      </c>
      <c r="AF68" s="3" t="s">
        <v>348</v>
      </c>
      <c r="AG68" s="3" t="s">
        <v>348</v>
      </c>
      <c r="AH68" s="3" t="s">
        <v>348</v>
      </c>
      <c r="AI68" s="3" t="s">
        <v>348</v>
      </c>
    </row>
    <row r="69" spans="1:39" s="3" customFormat="1">
      <c r="A69" s="62">
        <v>66</v>
      </c>
      <c r="B69" s="63" t="s">
        <v>65</v>
      </c>
      <c r="C69" s="64" t="s">
        <v>82</v>
      </c>
      <c r="D69" s="63" t="s">
        <v>54</v>
      </c>
      <c r="E69" s="65" t="s">
        <v>36</v>
      </c>
      <c r="F69" s="58"/>
      <c r="G69" s="43">
        <v>5</v>
      </c>
      <c r="H69" s="21">
        <v>7</v>
      </c>
      <c r="I69" s="21">
        <v>1</v>
      </c>
      <c r="J69" s="27">
        <v>6</v>
      </c>
      <c r="P69" s="30">
        <f t="shared" ref="P69:P132" si="3">SUM(J69:O69)</f>
        <v>6</v>
      </c>
      <c r="Q69" s="31">
        <f t="shared" ref="Q69:Q132" si="4">+R69-P69</f>
        <v>0</v>
      </c>
      <c r="R69" s="44">
        <f t="shared" ref="R69:R132" si="5">SUM(S69:FB69)</f>
        <v>6</v>
      </c>
      <c r="V69" s="3" t="s">
        <v>348</v>
      </c>
      <c r="W69" s="3" t="s">
        <v>348</v>
      </c>
      <c r="X69" s="3" t="s">
        <v>348</v>
      </c>
      <c r="Y69" s="3" t="s">
        <v>348</v>
      </c>
      <c r="Z69" s="3" t="s">
        <v>348</v>
      </c>
      <c r="AB69" s="3">
        <v>6</v>
      </c>
      <c r="AC69" s="3" t="s">
        <v>348</v>
      </c>
      <c r="AF69" s="3" t="s">
        <v>348</v>
      </c>
      <c r="AG69" s="3" t="s">
        <v>348</v>
      </c>
      <c r="AH69" s="3" t="s">
        <v>348</v>
      </c>
      <c r="AI69" s="3" t="s">
        <v>348</v>
      </c>
    </row>
    <row r="70" spans="1:39" s="3" customFormat="1">
      <c r="A70" s="62">
        <v>67</v>
      </c>
      <c r="B70" s="63" t="s">
        <v>65</v>
      </c>
      <c r="C70" s="64" t="s">
        <v>83</v>
      </c>
      <c r="D70" s="63" t="s">
        <v>60</v>
      </c>
      <c r="E70" s="65" t="s">
        <v>36</v>
      </c>
      <c r="F70" s="58"/>
      <c r="G70" s="43">
        <v>13</v>
      </c>
      <c r="H70" s="21">
        <v>13</v>
      </c>
      <c r="I70" s="21"/>
      <c r="J70" s="39">
        <v>13</v>
      </c>
      <c r="P70" s="30">
        <f t="shared" si="3"/>
        <v>13</v>
      </c>
      <c r="Q70" s="31">
        <f t="shared" si="4"/>
        <v>0</v>
      </c>
      <c r="R70" s="44">
        <f t="shared" si="5"/>
        <v>13</v>
      </c>
      <c r="V70" s="3" t="s">
        <v>348</v>
      </c>
      <c r="W70" s="3">
        <v>11</v>
      </c>
      <c r="X70" s="3" t="s">
        <v>348</v>
      </c>
      <c r="Y70" s="3" t="s">
        <v>348</v>
      </c>
      <c r="Z70" s="3">
        <v>2</v>
      </c>
      <c r="AC70" s="3" t="s">
        <v>348</v>
      </c>
      <c r="AF70" s="3" t="s">
        <v>348</v>
      </c>
      <c r="AG70" s="3" t="s">
        <v>348</v>
      </c>
      <c r="AH70" s="3" t="s">
        <v>348</v>
      </c>
      <c r="AI70" s="3" t="s">
        <v>348</v>
      </c>
    </row>
    <row r="71" spans="1:39" s="3" customFormat="1">
      <c r="A71" s="62">
        <v>68</v>
      </c>
      <c r="B71" s="63" t="s">
        <v>65</v>
      </c>
      <c r="C71" s="64" t="s">
        <v>84</v>
      </c>
      <c r="D71" s="63" t="s">
        <v>60</v>
      </c>
      <c r="E71" s="65" t="s">
        <v>36</v>
      </c>
      <c r="F71" s="58"/>
      <c r="G71" s="43">
        <v>4</v>
      </c>
      <c r="H71" s="21">
        <v>4</v>
      </c>
      <c r="I71" s="21"/>
      <c r="J71" s="27">
        <v>4</v>
      </c>
      <c r="P71" s="30">
        <f t="shared" si="3"/>
        <v>4</v>
      </c>
      <c r="Q71" s="31">
        <f t="shared" si="4"/>
        <v>0</v>
      </c>
      <c r="R71" s="44">
        <f t="shared" si="5"/>
        <v>4</v>
      </c>
      <c r="V71" s="3" t="s">
        <v>348</v>
      </c>
      <c r="W71" s="3">
        <v>4</v>
      </c>
      <c r="X71" s="3" t="s">
        <v>348</v>
      </c>
      <c r="Y71" s="3" t="s">
        <v>348</v>
      </c>
      <c r="Z71" s="3" t="s">
        <v>348</v>
      </c>
      <c r="AC71" s="3" t="s">
        <v>348</v>
      </c>
      <c r="AF71" s="3" t="s">
        <v>348</v>
      </c>
      <c r="AG71" s="3" t="s">
        <v>348</v>
      </c>
      <c r="AH71" s="3" t="s">
        <v>348</v>
      </c>
      <c r="AI71" s="3" t="s">
        <v>348</v>
      </c>
    </row>
    <row r="72" spans="1:39" s="3" customFormat="1">
      <c r="A72" s="62">
        <v>69</v>
      </c>
      <c r="B72" s="63" t="s">
        <v>65</v>
      </c>
      <c r="C72" s="64" t="s">
        <v>85</v>
      </c>
      <c r="D72" s="63" t="s">
        <v>60</v>
      </c>
      <c r="E72" s="65" t="s">
        <v>36</v>
      </c>
      <c r="F72" s="58"/>
      <c r="G72" s="43">
        <v>1</v>
      </c>
      <c r="H72" s="21">
        <v>1</v>
      </c>
      <c r="I72" s="21">
        <v>1</v>
      </c>
      <c r="J72" s="27">
        <v>0</v>
      </c>
      <c r="P72" s="30">
        <f t="shared" si="3"/>
        <v>0</v>
      </c>
      <c r="Q72" s="31">
        <f t="shared" si="4"/>
        <v>0</v>
      </c>
      <c r="R72" s="44">
        <f t="shared" si="5"/>
        <v>0</v>
      </c>
      <c r="V72" s="3" t="s">
        <v>348</v>
      </c>
      <c r="W72" s="3" t="s">
        <v>348</v>
      </c>
      <c r="X72" s="3" t="s">
        <v>348</v>
      </c>
      <c r="Y72" s="3" t="s">
        <v>348</v>
      </c>
      <c r="Z72" s="3" t="s">
        <v>348</v>
      </c>
      <c r="AC72" s="3" t="s">
        <v>348</v>
      </c>
      <c r="AF72" s="3" t="s">
        <v>348</v>
      </c>
      <c r="AG72" s="3" t="s">
        <v>348</v>
      </c>
      <c r="AH72" s="3" t="s">
        <v>348</v>
      </c>
      <c r="AI72" s="3" t="s">
        <v>348</v>
      </c>
    </row>
    <row r="73" spans="1:39" s="3" customFormat="1">
      <c r="A73" s="62">
        <v>70</v>
      </c>
      <c r="B73" s="63" t="s">
        <v>65</v>
      </c>
      <c r="C73" s="64" t="s">
        <v>86</v>
      </c>
      <c r="D73" s="63" t="s">
        <v>60</v>
      </c>
      <c r="E73" s="65" t="s">
        <v>36</v>
      </c>
      <c r="F73" s="58"/>
      <c r="G73" s="43">
        <v>1</v>
      </c>
      <c r="H73" s="21">
        <v>1</v>
      </c>
      <c r="I73" s="21"/>
      <c r="J73" s="27">
        <v>1</v>
      </c>
      <c r="P73" s="30">
        <f t="shared" si="3"/>
        <v>1</v>
      </c>
      <c r="Q73" s="31">
        <f t="shared" si="4"/>
        <v>0</v>
      </c>
      <c r="R73" s="44">
        <f t="shared" si="5"/>
        <v>1</v>
      </c>
      <c r="V73" s="3" t="s">
        <v>348</v>
      </c>
      <c r="W73" s="3">
        <v>1</v>
      </c>
      <c r="X73" s="3" t="s">
        <v>348</v>
      </c>
      <c r="Y73" s="3" t="s">
        <v>348</v>
      </c>
      <c r="Z73" s="3" t="s">
        <v>348</v>
      </c>
      <c r="AC73" s="3" t="s">
        <v>348</v>
      </c>
      <c r="AF73" s="3" t="s">
        <v>348</v>
      </c>
      <c r="AG73" s="3" t="s">
        <v>348</v>
      </c>
      <c r="AH73" s="3" t="s">
        <v>348</v>
      </c>
      <c r="AI73" s="3" t="s">
        <v>348</v>
      </c>
    </row>
    <row r="74" spans="1:39" s="3" customFormat="1">
      <c r="A74" s="62">
        <v>71</v>
      </c>
      <c r="B74" s="63" t="s">
        <v>100</v>
      </c>
      <c r="C74" s="64" t="s">
        <v>98</v>
      </c>
      <c r="D74" s="63" t="s">
        <v>35</v>
      </c>
      <c r="E74" s="65" t="s">
        <v>88</v>
      </c>
      <c r="F74" s="58"/>
      <c r="G74" s="43">
        <v>100</v>
      </c>
      <c r="H74" s="21">
        <v>100</v>
      </c>
      <c r="I74" s="21">
        <v>52</v>
      </c>
      <c r="J74" s="27">
        <v>48</v>
      </c>
      <c r="P74" s="30">
        <f t="shared" si="3"/>
        <v>48</v>
      </c>
      <c r="Q74" s="31">
        <f t="shared" si="4"/>
        <v>0</v>
      </c>
      <c r="R74" s="44">
        <f t="shared" si="5"/>
        <v>48</v>
      </c>
      <c r="V74" s="3" t="s">
        <v>348</v>
      </c>
      <c r="W74" s="3" t="s">
        <v>348</v>
      </c>
      <c r="X74" s="3" t="s">
        <v>348</v>
      </c>
      <c r="Y74" s="3" t="s">
        <v>348</v>
      </c>
      <c r="Z74" s="3" t="s">
        <v>348</v>
      </c>
      <c r="AC74" s="3">
        <v>48</v>
      </c>
      <c r="AF74" s="3" t="s">
        <v>348</v>
      </c>
      <c r="AG74" s="3" t="s">
        <v>348</v>
      </c>
      <c r="AH74" s="3" t="s">
        <v>348</v>
      </c>
      <c r="AI74" s="3" t="s">
        <v>348</v>
      </c>
    </row>
    <row r="75" spans="1:39" s="3" customFormat="1">
      <c r="A75" s="62">
        <v>72</v>
      </c>
      <c r="B75" s="63" t="s">
        <v>99</v>
      </c>
      <c r="C75" s="64" t="s">
        <v>89</v>
      </c>
      <c r="D75" s="63" t="s">
        <v>35</v>
      </c>
      <c r="E75" s="65" t="s">
        <v>88</v>
      </c>
      <c r="F75" s="58"/>
      <c r="G75" s="43">
        <v>1</v>
      </c>
      <c r="H75" s="21">
        <v>1</v>
      </c>
      <c r="I75" s="21">
        <v>1</v>
      </c>
      <c r="J75" s="27">
        <v>0</v>
      </c>
      <c r="O75" s="3">
        <v>6</v>
      </c>
      <c r="P75" s="30">
        <f t="shared" si="3"/>
        <v>6</v>
      </c>
      <c r="Q75" s="31">
        <f t="shared" si="4"/>
        <v>-6</v>
      </c>
      <c r="R75" s="44">
        <f t="shared" si="5"/>
        <v>0</v>
      </c>
      <c r="V75" s="3" t="s">
        <v>348</v>
      </c>
      <c r="W75" s="3" t="s">
        <v>348</v>
      </c>
      <c r="X75" s="3" t="s">
        <v>348</v>
      </c>
      <c r="Y75" s="3" t="s">
        <v>348</v>
      </c>
      <c r="Z75" s="3" t="s">
        <v>348</v>
      </c>
      <c r="AC75" s="3" t="s">
        <v>348</v>
      </c>
      <c r="AF75" s="3" t="s">
        <v>348</v>
      </c>
      <c r="AG75" s="3" t="s">
        <v>348</v>
      </c>
      <c r="AH75" s="3" t="s">
        <v>348</v>
      </c>
      <c r="AI75" s="3" t="s">
        <v>348</v>
      </c>
    </row>
    <row r="76" spans="1:39" s="3" customFormat="1">
      <c r="A76" s="62">
        <v>73</v>
      </c>
      <c r="B76" s="63" t="s">
        <v>99</v>
      </c>
      <c r="C76" s="64" t="s">
        <v>90</v>
      </c>
      <c r="D76" s="63" t="s">
        <v>35</v>
      </c>
      <c r="E76" s="65" t="s">
        <v>88</v>
      </c>
      <c r="F76" s="58"/>
      <c r="G76" s="43">
        <v>225</v>
      </c>
      <c r="H76" s="21">
        <v>226</v>
      </c>
      <c r="I76" s="21"/>
      <c r="J76" s="27">
        <v>226</v>
      </c>
      <c r="N76" s="3">
        <v>10</v>
      </c>
      <c r="P76" s="30">
        <f t="shared" si="3"/>
        <v>236</v>
      </c>
      <c r="Q76" s="31">
        <f t="shared" si="4"/>
        <v>0</v>
      </c>
      <c r="R76" s="44">
        <f t="shared" si="5"/>
        <v>236</v>
      </c>
      <c r="V76" s="3" t="s">
        <v>348</v>
      </c>
      <c r="W76" s="3" t="s">
        <v>348</v>
      </c>
      <c r="X76" s="3" t="s">
        <v>348</v>
      </c>
      <c r="Y76" s="3" t="s">
        <v>348</v>
      </c>
      <c r="Z76" s="3" t="s">
        <v>348</v>
      </c>
      <c r="AC76" s="3">
        <v>226</v>
      </c>
      <c r="AF76" s="3" t="s">
        <v>348</v>
      </c>
      <c r="AG76" s="3" t="s">
        <v>348</v>
      </c>
      <c r="AH76" s="3" t="s">
        <v>348</v>
      </c>
      <c r="AI76" s="3" t="s">
        <v>348</v>
      </c>
      <c r="AM76" s="3">
        <v>10</v>
      </c>
    </row>
    <row r="77" spans="1:39" s="3" customFormat="1">
      <c r="A77" s="62">
        <v>74</v>
      </c>
      <c r="B77" s="63" t="s">
        <v>99</v>
      </c>
      <c r="C77" s="64" t="s">
        <v>91</v>
      </c>
      <c r="D77" s="63" t="s">
        <v>35</v>
      </c>
      <c r="E77" s="65" t="s">
        <v>88</v>
      </c>
      <c r="F77" s="58"/>
      <c r="G77" s="43">
        <v>30</v>
      </c>
      <c r="H77" s="21">
        <v>30</v>
      </c>
      <c r="I77" s="21">
        <v>2</v>
      </c>
      <c r="J77" s="39">
        <v>28</v>
      </c>
      <c r="P77" s="30">
        <f t="shared" si="3"/>
        <v>28</v>
      </c>
      <c r="Q77" s="31">
        <f t="shared" si="4"/>
        <v>0</v>
      </c>
      <c r="R77" s="44">
        <f t="shared" si="5"/>
        <v>28</v>
      </c>
      <c r="V77" s="3" t="s">
        <v>348</v>
      </c>
      <c r="W77" s="3" t="s">
        <v>348</v>
      </c>
      <c r="X77" s="3" t="s">
        <v>348</v>
      </c>
      <c r="Y77" s="3" t="s">
        <v>348</v>
      </c>
      <c r="Z77" s="3">
        <v>28</v>
      </c>
      <c r="AC77" s="3" t="s">
        <v>348</v>
      </c>
      <c r="AF77" s="3" t="s">
        <v>348</v>
      </c>
      <c r="AG77" s="3" t="s">
        <v>348</v>
      </c>
      <c r="AH77" s="3" t="s">
        <v>348</v>
      </c>
      <c r="AI77" s="3" t="s">
        <v>348</v>
      </c>
    </row>
    <row r="78" spans="1:39" s="3" customFormat="1">
      <c r="A78" s="62">
        <v>75</v>
      </c>
      <c r="B78" s="63" t="s">
        <v>103</v>
      </c>
      <c r="C78" s="64" t="s">
        <v>101</v>
      </c>
      <c r="D78" s="63" t="s">
        <v>35</v>
      </c>
      <c r="E78" s="65" t="s">
        <v>88</v>
      </c>
      <c r="F78" s="58"/>
      <c r="G78" s="43">
        <v>115</v>
      </c>
      <c r="H78" s="21">
        <v>115</v>
      </c>
      <c r="I78" s="21">
        <v>27</v>
      </c>
      <c r="J78" s="39">
        <v>88</v>
      </c>
      <c r="P78" s="30">
        <f t="shared" si="3"/>
        <v>88</v>
      </c>
      <c r="Q78" s="31">
        <f t="shared" si="4"/>
        <v>0</v>
      </c>
      <c r="R78" s="44">
        <f t="shared" si="5"/>
        <v>88</v>
      </c>
      <c r="V78" s="3" t="s">
        <v>348</v>
      </c>
      <c r="W78" s="3" t="s">
        <v>348</v>
      </c>
      <c r="X78" s="3" t="s">
        <v>348</v>
      </c>
      <c r="Y78" s="3" t="s">
        <v>348</v>
      </c>
      <c r="Z78" s="3">
        <v>88</v>
      </c>
      <c r="AC78" s="3" t="s">
        <v>348</v>
      </c>
      <c r="AF78" s="3" t="s">
        <v>348</v>
      </c>
      <c r="AG78" s="3" t="s">
        <v>348</v>
      </c>
      <c r="AH78" s="3" t="s">
        <v>348</v>
      </c>
      <c r="AI78" s="3" t="s">
        <v>348</v>
      </c>
    </row>
    <row r="79" spans="1:39" s="3" customFormat="1">
      <c r="A79" s="62">
        <v>76</v>
      </c>
      <c r="B79" s="63" t="s">
        <v>102</v>
      </c>
      <c r="C79" s="64" t="s">
        <v>93</v>
      </c>
      <c r="D79" s="63" t="s">
        <v>35</v>
      </c>
      <c r="E79" s="65" t="s">
        <v>88</v>
      </c>
      <c r="F79" s="58"/>
      <c r="G79" s="43">
        <v>13</v>
      </c>
      <c r="H79" s="21">
        <v>13</v>
      </c>
      <c r="I79" s="21"/>
      <c r="J79" s="27">
        <v>13</v>
      </c>
      <c r="P79" s="30">
        <f t="shared" si="3"/>
        <v>13</v>
      </c>
      <c r="Q79" s="31">
        <f t="shared" si="4"/>
        <v>0</v>
      </c>
      <c r="R79" s="44">
        <f t="shared" si="5"/>
        <v>13</v>
      </c>
      <c r="V79" s="3" t="s">
        <v>348</v>
      </c>
      <c r="W79" s="3" t="s">
        <v>348</v>
      </c>
      <c r="X79" s="3" t="s">
        <v>348</v>
      </c>
      <c r="Y79" s="3" t="s">
        <v>348</v>
      </c>
      <c r="Z79" s="3">
        <v>13</v>
      </c>
      <c r="AC79" s="3" t="s">
        <v>348</v>
      </c>
      <c r="AF79" s="3" t="s">
        <v>348</v>
      </c>
      <c r="AG79" s="3" t="s">
        <v>348</v>
      </c>
      <c r="AH79" s="3" t="s">
        <v>348</v>
      </c>
      <c r="AI79" s="3" t="s">
        <v>348</v>
      </c>
    </row>
    <row r="80" spans="1:39" s="3" customFormat="1">
      <c r="A80" s="62">
        <v>77</v>
      </c>
      <c r="B80" s="63" t="s">
        <v>102</v>
      </c>
      <c r="C80" s="64" t="s">
        <v>94</v>
      </c>
      <c r="D80" s="63" t="s">
        <v>35</v>
      </c>
      <c r="E80" s="65" t="s">
        <v>88</v>
      </c>
      <c r="F80" s="58"/>
      <c r="G80" s="43">
        <v>57</v>
      </c>
      <c r="H80" s="21">
        <v>57</v>
      </c>
      <c r="I80" s="21">
        <v>51</v>
      </c>
      <c r="J80" s="39">
        <v>6</v>
      </c>
      <c r="P80" s="30">
        <f t="shared" si="3"/>
        <v>6</v>
      </c>
      <c r="Q80" s="31">
        <f t="shared" si="4"/>
        <v>0</v>
      </c>
      <c r="R80" s="44">
        <f t="shared" si="5"/>
        <v>6</v>
      </c>
      <c r="V80" s="3" t="s">
        <v>348</v>
      </c>
      <c r="W80" s="3" t="s">
        <v>348</v>
      </c>
      <c r="X80" s="3" t="s">
        <v>348</v>
      </c>
      <c r="Y80" s="3" t="s">
        <v>348</v>
      </c>
      <c r="Z80" s="3">
        <v>6</v>
      </c>
      <c r="AC80" s="3" t="s">
        <v>348</v>
      </c>
      <c r="AF80" s="3" t="s">
        <v>348</v>
      </c>
      <c r="AG80" s="3" t="s">
        <v>348</v>
      </c>
      <c r="AH80" s="3" t="s">
        <v>348</v>
      </c>
      <c r="AI80" s="3" t="s">
        <v>348</v>
      </c>
    </row>
    <row r="81" spans="1:37" s="3" customFormat="1">
      <c r="A81" s="62">
        <v>78</v>
      </c>
      <c r="B81" s="63" t="s">
        <v>102</v>
      </c>
      <c r="C81" s="64" t="s">
        <v>95</v>
      </c>
      <c r="D81" s="63" t="s">
        <v>35</v>
      </c>
      <c r="E81" s="65" t="s">
        <v>88</v>
      </c>
      <c r="F81" s="58"/>
      <c r="G81" s="43">
        <v>86</v>
      </c>
      <c r="H81" s="21">
        <v>86</v>
      </c>
      <c r="I81" s="21">
        <v>78</v>
      </c>
      <c r="J81" s="39">
        <f>8+1</f>
        <v>9</v>
      </c>
      <c r="P81" s="30">
        <f t="shared" si="3"/>
        <v>9</v>
      </c>
      <c r="Q81" s="31">
        <f t="shared" si="4"/>
        <v>0</v>
      </c>
      <c r="R81" s="44">
        <f t="shared" si="5"/>
        <v>9</v>
      </c>
      <c r="V81" s="3" t="s">
        <v>348</v>
      </c>
      <c r="W81" s="3" t="s">
        <v>348</v>
      </c>
      <c r="X81" s="3" t="s">
        <v>348</v>
      </c>
      <c r="Y81" s="3" t="s">
        <v>348</v>
      </c>
      <c r="Z81" s="3" t="s">
        <v>348</v>
      </c>
      <c r="AC81" s="3">
        <v>8</v>
      </c>
      <c r="AF81" s="3" t="s">
        <v>348</v>
      </c>
      <c r="AG81" s="3" t="s">
        <v>348</v>
      </c>
      <c r="AH81" s="3" t="s">
        <v>348</v>
      </c>
      <c r="AI81" s="3">
        <v>1</v>
      </c>
    </row>
    <row r="82" spans="1:37" s="3" customFormat="1">
      <c r="A82" s="62">
        <v>79</v>
      </c>
      <c r="B82" s="63" t="s">
        <v>102</v>
      </c>
      <c r="C82" s="64" t="s">
        <v>96</v>
      </c>
      <c r="D82" s="63" t="s">
        <v>35</v>
      </c>
      <c r="E82" s="65" t="s">
        <v>88</v>
      </c>
      <c r="F82" s="58"/>
      <c r="G82" s="43">
        <v>9</v>
      </c>
      <c r="H82" s="21">
        <v>10</v>
      </c>
      <c r="I82" s="21">
        <v>10</v>
      </c>
      <c r="J82" s="27">
        <v>0</v>
      </c>
      <c r="P82" s="30">
        <f t="shared" si="3"/>
        <v>0</v>
      </c>
      <c r="Q82" s="31">
        <f t="shared" si="4"/>
        <v>0</v>
      </c>
      <c r="R82" s="44">
        <f t="shared" si="5"/>
        <v>0</v>
      </c>
      <c r="V82" s="3" t="s">
        <v>348</v>
      </c>
      <c r="W82" s="3" t="s">
        <v>348</v>
      </c>
      <c r="X82" s="3" t="s">
        <v>348</v>
      </c>
      <c r="Y82" s="3" t="s">
        <v>348</v>
      </c>
      <c r="Z82" s="3" t="s">
        <v>348</v>
      </c>
      <c r="AC82" s="3" t="s">
        <v>348</v>
      </c>
      <c r="AF82" s="3" t="s">
        <v>348</v>
      </c>
      <c r="AG82" s="3" t="s">
        <v>348</v>
      </c>
      <c r="AH82" s="3" t="s">
        <v>348</v>
      </c>
      <c r="AI82" s="3" t="s">
        <v>348</v>
      </c>
    </row>
    <row r="83" spans="1:37" s="3" customFormat="1">
      <c r="A83" s="62">
        <v>80</v>
      </c>
      <c r="B83" s="63" t="s">
        <v>102</v>
      </c>
      <c r="C83" s="64" t="s">
        <v>97</v>
      </c>
      <c r="D83" s="63" t="s">
        <v>35</v>
      </c>
      <c r="E83" s="65" t="s">
        <v>88</v>
      </c>
      <c r="F83" s="58"/>
      <c r="G83" s="43">
        <v>1</v>
      </c>
      <c r="H83" s="21">
        <v>1</v>
      </c>
      <c r="I83" s="21">
        <v>1</v>
      </c>
      <c r="J83" s="27">
        <v>0</v>
      </c>
      <c r="P83" s="30">
        <f t="shared" si="3"/>
        <v>0</v>
      </c>
      <c r="Q83" s="31">
        <f t="shared" si="4"/>
        <v>0</v>
      </c>
      <c r="R83" s="44">
        <f t="shared" si="5"/>
        <v>0</v>
      </c>
      <c r="V83" s="3" t="s">
        <v>348</v>
      </c>
      <c r="W83" s="3" t="s">
        <v>348</v>
      </c>
      <c r="X83" s="3" t="s">
        <v>348</v>
      </c>
      <c r="Y83" s="3" t="s">
        <v>348</v>
      </c>
      <c r="Z83" s="3" t="s">
        <v>348</v>
      </c>
      <c r="AC83" s="3" t="s">
        <v>348</v>
      </c>
      <c r="AF83" s="3" t="s">
        <v>348</v>
      </c>
      <c r="AG83" s="3" t="s">
        <v>348</v>
      </c>
      <c r="AH83" s="3" t="s">
        <v>348</v>
      </c>
      <c r="AI83" s="3" t="s">
        <v>348</v>
      </c>
    </row>
    <row r="84" spans="1:37" s="3" customFormat="1">
      <c r="A84" s="62">
        <v>81</v>
      </c>
      <c r="B84" s="63" t="s">
        <v>105</v>
      </c>
      <c r="C84" s="64" t="s">
        <v>333</v>
      </c>
      <c r="D84" s="63" t="s">
        <v>35</v>
      </c>
      <c r="E84" s="65" t="s">
        <v>88</v>
      </c>
      <c r="F84" s="58"/>
      <c r="G84" s="43">
        <v>15</v>
      </c>
      <c r="H84" s="21">
        <v>15</v>
      </c>
      <c r="I84" s="21">
        <v>0</v>
      </c>
      <c r="J84" s="39">
        <v>1</v>
      </c>
      <c r="L84" s="3">
        <v>14</v>
      </c>
      <c r="P84" s="30">
        <f t="shared" si="3"/>
        <v>15</v>
      </c>
      <c r="Q84" s="31">
        <f t="shared" si="4"/>
        <v>0</v>
      </c>
      <c r="R84" s="44">
        <f t="shared" si="5"/>
        <v>15</v>
      </c>
      <c r="V84" s="3" t="s">
        <v>348</v>
      </c>
      <c r="W84" s="3" t="s">
        <v>348</v>
      </c>
      <c r="X84" s="3" t="s">
        <v>348</v>
      </c>
      <c r="Y84" s="3" t="s">
        <v>348</v>
      </c>
      <c r="Z84" s="3">
        <v>1</v>
      </c>
      <c r="AC84" s="3" t="s">
        <v>348</v>
      </c>
      <c r="AF84" s="3" t="s">
        <v>348</v>
      </c>
      <c r="AG84" s="3" t="s">
        <v>348</v>
      </c>
      <c r="AH84" s="3" t="s">
        <v>348</v>
      </c>
      <c r="AI84" s="3" t="s">
        <v>348</v>
      </c>
      <c r="AK84" s="3">
        <v>14</v>
      </c>
    </row>
    <row r="85" spans="1:37" s="3" customFormat="1">
      <c r="A85" s="62">
        <v>82</v>
      </c>
      <c r="B85" s="63" t="s">
        <v>104</v>
      </c>
      <c r="C85" s="64" t="s">
        <v>334</v>
      </c>
      <c r="D85" s="63" t="s">
        <v>35</v>
      </c>
      <c r="E85" s="65" t="s">
        <v>88</v>
      </c>
      <c r="F85" s="58"/>
      <c r="G85" s="43">
        <v>20</v>
      </c>
      <c r="H85" s="21">
        <v>21</v>
      </c>
      <c r="I85" s="21"/>
      <c r="J85" s="27">
        <v>21</v>
      </c>
      <c r="P85" s="30">
        <f t="shared" si="3"/>
        <v>21</v>
      </c>
      <c r="Q85" s="31">
        <f t="shared" si="4"/>
        <v>0</v>
      </c>
      <c r="R85" s="44">
        <f t="shared" si="5"/>
        <v>21</v>
      </c>
      <c r="V85" s="3" t="s">
        <v>348</v>
      </c>
      <c r="W85" s="3" t="s">
        <v>348</v>
      </c>
      <c r="X85" s="3" t="s">
        <v>348</v>
      </c>
      <c r="Y85" s="3" t="s">
        <v>348</v>
      </c>
      <c r="Z85" s="3">
        <v>21</v>
      </c>
      <c r="AC85" s="3" t="s">
        <v>348</v>
      </c>
      <c r="AF85" s="3" t="s">
        <v>348</v>
      </c>
      <c r="AG85" s="3" t="s">
        <v>348</v>
      </c>
      <c r="AH85" s="3" t="s">
        <v>348</v>
      </c>
      <c r="AI85" s="3" t="s">
        <v>348</v>
      </c>
    </row>
    <row r="86" spans="1:37" s="3" customFormat="1">
      <c r="A86" s="62">
        <v>83</v>
      </c>
      <c r="B86" s="63" t="s">
        <v>104</v>
      </c>
      <c r="C86" s="64" t="s">
        <v>335</v>
      </c>
      <c r="D86" s="63" t="s">
        <v>35</v>
      </c>
      <c r="E86" s="65" t="s">
        <v>88</v>
      </c>
      <c r="F86" s="58"/>
      <c r="G86" s="43">
        <v>19</v>
      </c>
      <c r="H86" s="21">
        <v>20</v>
      </c>
      <c r="I86" s="21">
        <v>5</v>
      </c>
      <c r="J86" s="27">
        <v>15</v>
      </c>
      <c r="P86" s="30">
        <f t="shared" si="3"/>
        <v>15</v>
      </c>
      <c r="Q86" s="31">
        <f t="shared" si="4"/>
        <v>0</v>
      </c>
      <c r="R86" s="44">
        <f t="shared" si="5"/>
        <v>15</v>
      </c>
      <c r="V86" s="3" t="s">
        <v>348</v>
      </c>
      <c r="W86" s="3" t="s">
        <v>348</v>
      </c>
      <c r="X86" s="3" t="s">
        <v>348</v>
      </c>
      <c r="Y86" s="3" t="s">
        <v>348</v>
      </c>
      <c r="Z86" s="3" t="s">
        <v>348</v>
      </c>
      <c r="AC86" s="3">
        <v>15</v>
      </c>
      <c r="AF86" s="3" t="s">
        <v>348</v>
      </c>
      <c r="AG86" s="3" t="s">
        <v>348</v>
      </c>
      <c r="AH86" s="3" t="s">
        <v>348</v>
      </c>
      <c r="AI86" s="3" t="s">
        <v>348</v>
      </c>
    </row>
    <row r="87" spans="1:37" s="3" customFormat="1">
      <c r="A87" s="62">
        <v>84</v>
      </c>
      <c r="B87" s="63" t="s">
        <v>99</v>
      </c>
      <c r="C87" s="64" t="s">
        <v>87</v>
      </c>
      <c r="D87" s="63" t="s">
        <v>54</v>
      </c>
      <c r="E87" s="65" t="s">
        <v>88</v>
      </c>
      <c r="F87" s="58"/>
      <c r="G87" s="43">
        <v>163</v>
      </c>
      <c r="H87" s="21">
        <v>163</v>
      </c>
      <c r="I87" s="21">
        <v>34</v>
      </c>
      <c r="J87" s="39">
        <v>129</v>
      </c>
      <c r="M87" s="3">
        <v>4</v>
      </c>
      <c r="P87" s="30">
        <f t="shared" si="3"/>
        <v>133</v>
      </c>
      <c r="Q87" s="31">
        <f t="shared" si="4"/>
        <v>-4</v>
      </c>
      <c r="R87" s="44">
        <f t="shared" si="5"/>
        <v>129</v>
      </c>
      <c r="V87" s="3" t="s">
        <v>348</v>
      </c>
      <c r="W87" s="3" t="s">
        <v>348</v>
      </c>
      <c r="X87" s="3" t="s">
        <v>348</v>
      </c>
      <c r="Y87" s="3" t="s">
        <v>348</v>
      </c>
      <c r="Z87" s="3" t="s">
        <v>348</v>
      </c>
      <c r="AC87" s="3" t="s">
        <v>348</v>
      </c>
      <c r="AF87" s="3" t="s">
        <v>348</v>
      </c>
      <c r="AG87" s="3">
        <v>129</v>
      </c>
      <c r="AH87" s="3" t="s">
        <v>348</v>
      </c>
      <c r="AI87" s="3" t="s">
        <v>348</v>
      </c>
    </row>
    <row r="88" spans="1:37" s="3" customFormat="1">
      <c r="A88" s="62">
        <v>85</v>
      </c>
      <c r="B88" s="63" t="s">
        <v>99</v>
      </c>
      <c r="C88" s="64" t="s">
        <v>89</v>
      </c>
      <c r="D88" s="63" t="s">
        <v>54</v>
      </c>
      <c r="E88" s="65" t="s">
        <v>88</v>
      </c>
      <c r="F88" s="58"/>
      <c r="G88" s="43">
        <v>15</v>
      </c>
      <c r="H88" s="21">
        <v>15</v>
      </c>
      <c r="I88" s="21"/>
      <c r="J88" s="27">
        <v>15</v>
      </c>
      <c r="P88" s="30">
        <f t="shared" si="3"/>
        <v>15</v>
      </c>
      <c r="Q88" s="31">
        <f t="shared" si="4"/>
        <v>0</v>
      </c>
      <c r="R88" s="44">
        <f t="shared" si="5"/>
        <v>15</v>
      </c>
      <c r="V88" s="3" t="s">
        <v>348</v>
      </c>
      <c r="W88" s="3" t="s">
        <v>348</v>
      </c>
      <c r="X88" s="3" t="s">
        <v>348</v>
      </c>
      <c r="Y88" s="3" t="s">
        <v>348</v>
      </c>
      <c r="Z88" s="3">
        <v>15</v>
      </c>
      <c r="AC88" s="3" t="s">
        <v>348</v>
      </c>
      <c r="AF88" s="3" t="s">
        <v>348</v>
      </c>
      <c r="AG88" s="3" t="s">
        <v>348</v>
      </c>
      <c r="AH88" s="3" t="s">
        <v>348</v>
      </c>
      <c r="AI88" s="3" t="s">
        <v>348</v>
      </c>
    </row>
    <row r="89" spans="1:37" s="3" customFormat="1">
      <c r="A89" s="62">
        <v>86</v>
      </c>
      <c r="B89" s="63" t="s">
        <v>99</v>
      </c>
      <c r="C89" s="64" t="s">
        <v>90</v>
      </c>
      <c r="D89" s="63" t="s">
        <v>54</v>
      </c>
      <c r="E89" s="65" t="s">
        <v>88</v>
      </c>
      <c r="F89" s="58"/>
      <c r="G89" s="43">
        <v>256</v>
      </c>
      <c r="H89" s="21">
        <v>256</v>
      </c>
      <c r="I89" s="21">
        <v>2</v>
      </c>
      <c r="J89" s="39">
        <v>254</v>
      </c>
      <c r="P89" s="30">
        <f t="shared" si="3"/>
        <v>254</v>
      </c>
      <c r="Q89" s="31">
        <f t="shared" si="4"/>
        <v>0</v>
      </c>
      <c r="R89" s="44">
        <f t="shared" si="5"/>
        <v>254</v>
      </c>
      <c r="V89" s="3" t="s">
        <v>348</v>
      </c>
      <c r="W89" s="3" t="s">
        <v>348</v>
      </c>
      <c r="X89" s="3" t="s">
        <v>348</v>
      </c>
      <c r="Y89" s="3" t="s">
        <v>348</v>
      </c>
      <c r="Z89" s="3" t="s">
        <v>348</v>
      </c>
      <c r="AC89" s="3">
        <v>204</v>
      </c>
      <c r="AF89" s="3" t="s">
        <v>348</v>
      </c>
      <c r="AG89" s="3">
        <v>50</v>
      </c>
      <c r="AH89" s="3" t="s">
        <v>348</v>
      </c>
      <c r="AI89" s="3" t="s">
        <v>348</v>
      </c>
    </row>
    <row r="90" spans="1:37" s="3" customFormat="1">
      <c r="A90" s="62">
        <v>87</v>
      </c>
      <c r="B90" s="63" t="s">
        <v>99</v>
      </c>
      <c r="C90" s="64" t="s">
        <v>106</v>
      </c>
      <c r="D90" s="63" t="s">
        <v>54</v>
      </c>
      <c r="E90" s="65" t="s">
        <v>88</v>
      </c>
      <c r="F90" s="58"/>
      <c r="G90" s="43">
        <v>2</v>
      </c>
      <c r="H90" s="21">
        <v>3</v>
      </c>
      <c r="I90" s="21"/>
      <c r="J90" s="27">
        <v>3</v>
      </c>
      <c r="P90" s="30">
        <f t="shared" si="3"/>
        <v>3</v>
      </c>
      <c r="Q90" s="31">
        <f t="shared" si="4"/>
        <v>0</v>
      </c>
      <c r="R90" s="44">
        <f t="shared" si="5"/>
        <v>3</v>
      </c>
      <c r="V90" s="3" t="s">
        <v>348</v>
      </c>
      <c r="W90" s="3" t="s">
        <v>348</v>
      </c>
      <c r="X90" s="3" t="s">
        <v>348</v>
      </c>
      <c r="Y90" s="3" t="s">
        <v>348</v>
      </c>
      <c r="Z90" s="3">
        <v>3</v>
      </c>
      <c r="AC90" s="3" t="s">
        <v>348</v>
      </c>
      <c r="AF90" s="3" t="s">
        <v>348</v>
      </c>
      <c r="AG90" s="3" t="s">
        <v>348</v>
      </c>
      <c r="AH90" s="3" t="s">
        <v>348</v>
      </c>
      <c r="AI90" s="3" t="s">
        <v>348</v>
      </c>
    </row>
    <row r="91" spans="1:37" s="3" customFormat="1">
      <c r="A91" s="62">
        <v>88</v>
      </c>
      <c r="B91" s="63" t="s">
        <v>99</v>
      </c>
      <c r="C91" s="64" t="s">
        <v>91</v>
      </c>
      <c r="D91" s="63" t="s">
        <v>54</v>
      </c>
      <c r="E91" s="65" t="s">
        <v>88</v>
      </c>
      <c r="F91" s="58"/>
      <c r="G91" s="43">
        <v>61</v>
      </c>
      <c r="H91" s="21">
        <v>63</v>
      </c>
      <c r="I91" s="21"/>
      <c r="J91" s="27">
        <v>63</v>
      </c>
      <c r="P91" s="30">
        <f t="shared" si="3"/>
        <v>63</v>
      </c>
      <c r="Q91" s="31">
        <f t="shared" si="4"/>
        <v>0</v>
      </c>
      <c r="R91" s="44">
        <f t="shared" si="5"/>
        <v>63</v>
      </c>
      <c r="V91" s="3" t="s">
        <v>348</v>
      </c>
      <c r="W91" s="3" t="s">
        <v>348</v>
      </c>
      <c r="X91" s="3" t="s">
        <v>348</v>
      </c>
      <c r="Y91" s="3" t="s">
        <v>348</v>
      </c>
      <c r="Z91" s="3" t="s">
        <v>348</v>
      </c>
      <c r="AC91" s="3">
        <v>16</v>
      </c>
      <c r="AF91" s="3" t="s">
        <v>348</v>
      </c>
      <c r="AG91" s="3">
        <v>47</v>
      </c>
      <c r="AH91" s="3" t="s">
        <v>348</v>
      </c>
      <c r="AI91" s="3" t="s">
        <v>348</v>
      </c>
    </row>
    <row r="92" spans="1:37" s="3" customFormat="1">
      <c r="A92" s="62">
        <v>89</v>
      </c>
      <c r="B92" s="63" t="s">
        <v>102</v>
      </c>
      <c r="C92" s="64" t="s">
        <v>92</v>
      </c>
      <c r="D92" s="63" t="s">
        <v>54</v>
      </c>
      <c r="E92" s="65" t="s">
        <v>88</v>
      </c>
      <c r="F92" s="58"/>
      <c r="G92" s="43">
        <v>29</v>
      </c>
      <c r="H92" s="21">
        <v>30</v>
      </c>
      <c r="I92" s="21">
        <v>5</v>
      </c>
      <c r="J92" s="27">
        <v>25</v>
      </c>
      <c r="P92" s="30">
        <f t="shared" si="3"/>
        <v>25</v>
      </c>
      <c r="Q92" s="31">
        <f t="shared" si="4"/>
        <v>0</v>
      </c>
      <c r="R92" s="44">
        <f t="shared" si="5"/>
        <v>25</v>
      </c>
      <c r="V92" s="3" t="s">
        <v>348</v>
      </c>
      <c r="W92" s="3" t="s">
        <v>348</v>
      </c>
      <c r="X92" s="3" t="s">
        <v>348</v>
      </c>
      <c r="Y92" s="3" t="s">
        <v>348</v>
      </c>
      <c r="Z92" s="3">
        <v>25</v>
      </c>
      <c r="AC92" s="3" t="s">
        <v>348</v>
      </c>
      <c r="AF92" s="3" t="s">
        <v>348</v>
      </c>
      <c r="AG92" s="3" t="s">
        <v>348</v>
      </c>
      <c r="AH92" s="3" t="s">
        <v>348</v>
      </c>
      <c r="AI92" s="3" t="s">
        <v>348</v>
      </c>
    </row>
    <row r="93" spans="1:37" s="3" customFormat="1">
      <c r="A93" s="62">
        <v>90</v>
      </c>
      <c r="B93" s="63" t="s">
        <v>102</v>
      </c>
      <c r="C93" s="64" t="s">
        <v>93</v>
      </c>
      <c r="D93" s="63" t="s">
        <v>54</v>
      </c>
      <c r="E93" s="65" t="s">
        <v>88</v>
      </c>
      <c r="F93" s="58"/>
      <c r="G93" s="43">
        <v>12</v>
      </c>
      <c r="H93" s="21">
        <v>12</v>
      </c>
      <c r="I93" s="21"/>
      <c r="J93" s="27">
        <v>12</v>
      </c>
      <c r="P93" s="30">
        <f t="shared" si="3"/>
        <v>12</v>
      </c>
      <c r="Q93" s="31">
        <f t="shared" si="4"/>
        <v>0</v>
      </c>
      <c r="R93" s="44">
        <f t="shared" si="5"/>
        <v>12</v>
      </c>
      <c r="V93" s="3" t="s">
        <v>348</v>
      </c>
      <c r="W93" s="3" t="s">
        <v>348</v>
      </c>
      <c r="X93" s="3" t="s">
        <v>348</v>
      </c>
      <c r="Y93" s="3" t="s">
        <v>348</v>
      </c>
      <c r="Z93" s="3">
        <v>12</v>
      </c>
      <c r="AC93" s="3" t="s">
        <v>348</v>
      </c>
      <c r="AF93" s="3" t="s">
        <v>348</v>
      </c>
      <c r="AG93" s="3" t="s">
        <v>348</v>
      </c>
      <c r="AH93" s="3" t="s">
        <v>348</v>
      </c>
      <c r="AI93" s="3" t="s">
        <v>348</v>
      </c>
    </row>
    <row r="94" spans="1:37" s="3" customFormat="1">
      <c r="A94" s="62">
        <v>91</v>
      </c>
      <c r="B94" s="63" t="s">
        <v>102</v>
      </c>
      <c r="C94" s="64" t="s">
        <v>94</v>
      </c>
      <c r="D94" s="63" t="s">
        <v>54</v>
      </c>
      <c r="E94" s="65" t="s">
        <v>88</v>
      </c>
      <c r="F94" s="58"/>
      <c r="G94" s="43">
        <v>12</v>
      </c>
      <c r="H94" s="21">
        <v>12</v>
      </c>
      <c r="I94" s="21"/>
      <c r="J94" s="39">
        <v>12</v>
      </c>
      <c r="P94" s="30">
        <f t="shared" si="3"/>
        <v>12</v>
      </c>
      <c r="Q94" s="31">
        <f t="shared" si="4"/>
        <v>0</v>
      </c>
      <c r="R94" s="44">
        <f t="shared" si="5"/>
        <v>12</v>
      </c>
      <c r="V94" s="3" t="s">
        <v>348</v>
      </c>
      <c r="W94" s="3" t="s">
        <v>348</v>
      </c>
      <c r="X94" s="3" t="s">
        <v>348</v>
      </c>
      <c r="Y94" s="3" t="s">
        <v>348</v>
      </c>
      <c r="Z94" s="3" t="s">
        <v>348</v>
      </c>
      <c r="AB94" s="3">
        <v>12</v>
      </c>
      <c r="AC94" s="3" t="s">
        <v>348</v>
      </c>
      <c r="AF94" s="3" t="s">
        <v>348</v>
      </c>
      <c r="AG94" s="3" t="s">
        <v>348</v>
      </c>
      <c r="AH94" s="3" t="s">
        <v>348</v>
      </c>
      <c r="AI94" s="3" t="s">
        <v>348</v>
      </c>
    </row>
    <row r="95" spans="1:37" s="3" customFormat="1">
      <c r="A95" s="62">
        <v>92</v>
      </c>
      <c r="B95" s="63" t="s">
        <v>102</v>
      </c>
      <c r="C95" s="64" t="s">
        <v>95</v>
      </c>
      <c r="D95" s="63" t="s">
        <v>54</v>
      </c>
      <c r="E95" s="65" t="s">
        <v>88</v>
      </c>
      <c r="F95" s="58"/>
      <c r="G95" s="43">
        <v>1</v>
      </c>
      <c r="H95" s="21">
        <v>1</v>
      </c>
      <c r="I95" s="21">
        <v>1</v>
      </c>
      <c r="J95" s="27">
        <v>0</v>
      </c>
      <c r="P95" s="30">
        <f t="shared" si="3"/>
        <v>0</v>
      </c>
      <c r="Q95" s="31">
        <f t="shared" si="4"/>
        <v>0</v>
      </c>
      <c r="R95" s="44">
        <f t="shared" si="5"/>
        <v>0</v>
      </c>
      <c r="V95" s="3" t="s">
        <v>348</v>
      </c>
      <c r="W95" s="3" t="s">
        <v>348</v>
      </c>
      <c r="X95" s="3" t="s">
        <v>348</v>
      </c>
      <c r="Y95" s="3" t="s">
        <v>348</v>
      </c>
      <c r="Z95" s="3" t="s">
        <v>348</v>
      </c>
      <c r="AC95" s="3" t="s">
        <v>348</v>
      </c>
      <c r="AF95" s="3" t="s">
        <v>348</v>
      </c>
      <c r="AG95" s="3" t="s">
        <v>348</v>
      </c>
      <c r="AH95" s="3" t="s">
        <v>348</v>
      </c>
      <c r="AI95" s="3" t="s">
        <v>348</v>
      </c>
    </row>
    <row r="96" spans="1:37" s="3" customFormat="1">
      <c r="A96" s="62">
        <v>93</v>
      </c>
      <c r="B96" s="63" t="s">
        <v>102</v>
      </c>
      <c r="C96" s="64" t="s">
        <v>96</v>
      </c>
      <c r="D96" s="63" t="s">
        <v>54</v>
      </c>
      <c r="E96" s="65" t="s">
        <v>88</v>
      </c>
      <c r="F96" s="58"/>
      <c r="G96" s="43">
        <v>1</v>
      </c>
      <c r="H96" s="21">
        <v>1</v>
      </c>
      <c r="I96" s="21">
        <v>1</v>
      </c>
      <c r="J96" s="27">
        <v>0</v>
      </c>
      <c r="P96" s="30">
        <f t="shared" si="3"/>
        <v>0</v>
      </c>
      <c r="Q96" s="31">
        <f t="shared" si="4"/>
        <v>0</v>
      </c>
      <c r="R96" s="44">
        <f t="shared" si="5"/>
        <v>0</v>
      </c>
      <c r="V96" s="3" t="s">
        <v>348</v>
      </c>
      <c r="W96" s="3" t="s">
        <v>348</v>
      </c>
      <c r="X96" s="3" t="s">
        <v>348</v>
      </c>
      <c r="Y96" s="3" t="s">
        <v>348</v>
      </c>
      <c r="Z96" s="3" t="s">
        <v>348</v>
      </c>
      <c r="AC96" s="3" t="s">
        <v>348</v>
      </c>
      <c r="AF96" s="3" t="s">
        <v>348</v>
      </c>
      <c r="AG96" s="3" t="s">
        <v>348</v>
      </c>
      <c r="AH96" s="3" t="s">
        <v>348</v>
      </c>
      <c r="AI96" s="3" t="s">
        <v>348</v>
      </c>
    </row>
    <row r="97" spans="1:39" s="3" customFormat="1">
      <c r="A97" s="62">
        <v>94</v>
      </c>
      <c r="B97" s="63" t="s">
        <v>102</v>
      </c>
      <c r="C97" s="64" t="s">
        <v>97</v>
      </c>
      <c r="D97" s="63" t="s">
        <v>54</v>
      </c>
      <c r="E97" s="65" t="s">
        <v>88</v>
      </c>
      <c r="F97" s="58"/>
      <c r="G97" s="43">
        <v>1</v>
      </c>
      <c r="H97" s="21">
        <v>1</v>
      </c>
      <c r="I97" s="21">
        <v>1</v>
      </c>
      <c r="J97" s="27">
        <v>0</v>
      </c>
      <c r="P97" s="30">
        <f t="shared" si="3"/>
        <v>0</v>
      </c>
      <c r="Q97" s="31">
        <f t="shared" si="4"/>
        <v>0</v>
      </c>
      <c r="R97" s="44">
        <f t="shared" si="5"/>
        <v>0</v>
      </c>
      <c r="V97" s="3" t="s">
        <v>348</v>
      </c>
      <c r="W97" s="3" t="s">
        <v>348</v>
      </c>
      <c r="X97" s="3" t="s">
        <v>348</v>
      </c>
      <c r="Y97" s="3" t="s">
        <v>348</v>
      </c>
      <c r="Z97" s="3" t="s">
        <v>348</v>
      </c>
      <c r="AC97" s="3" t="s">
        <v>348</v>
      </c>
      <c r="AF97" s="3" t="s">
        <v>348</v>
      </c>
      <c r="AG97" s="3" t="s">
        <v>348</v>
      </c>
      <c r="AH97" s="3" t="s">
        <v>348</v>
      </c>
      <c r="AI97" s="3" t="s">
        <v>348</v>
      </c>
      <c r="AJ97" s="3" t="s">
        <v>348</v>
      </c>
    </row>
    <row r="98" spans="1:39" s="3" customFormat="1">
      <c r="A98" s="62">
        <v>95</v>
      </c>
      <c r="B98" s="63" t="s">
        <v>107</v>
      </c>
      <c r="C98" s="64" t="s">
        <v>108</v>
      </c>
      <c r="D98" s="63" t="s">
        <v>54</v>
      </c>
      <c r="E98" s="65" t="s">
        <v>36</v>
      </c>
      <c r="F98" s="58"/>
      <c r="G98" s="43">
        <v>1</v>
      </c>
      <c r="H98" s="21">
        <v>1</v>
      </c>
      <c r="I98" s="21">
        <v>1</v>
      </c>
      <c r="J98" s="27">
        <v>0</v>
      </c>
      <c r="P98" s="30">
        <f t="shared" si="3"/>
        <v>0</v>
      </c>
      <c r="Q98" s="31">
        <f t="shared" si="4"/>
        <v>0</v>
      </c>
      <c r="R98" s="44">
        <f t="shared" si="5"/>
        <v>0</v>
      </c>
      <c r="V98" s="3" t="s">
        <v>348</v>
      </c>
      <c r="W98" s="3" t="s">
        <v>348</v>
      </c>
      <c r="X98" s="3" t="s">
        <v>348</v>
      </c>
      <c r="Y98" s="3" t="s">
        <v>348</v>
      </c>
      <c r="Z98" s="3" t="s">
        <v>348</v>
      </c>
      <c r="AC98" s="3" t="s">
        <v>348</v>
      </c>
      <c r="AF98" s="3" t="s">
        <v>348</v>
      </c>
      <c r="AG98" s="3" t="s">
        <v>348</v>
      </c>
      <c r="AH98" s="3" t="s">
        <v>348</v>
      </c>
      <c r="AI98" s="3" t="s">
        <v>348</v>
      </c>
      <c r="AJ98" s="3" t="s">
        <v>348</v>
      </c>
    </row>
    <row r="99" spans="1:39" s="3" customFormat="1">
      <c r="A99" s="62">
        <v>96</v>
      </c>
      <c r="B99" s="63" t="s">
        <v>107</v>
      </c>
      <c r="C99" s="64" t="s">
        <v>109</v>
      </c>
      <c r="D99" s="63" t="s">
        <v>54</v>
      </c>
      <c r="E99" s="65" t="s">
        <v>36</v>
      </c>
      <c r="F99" s="58"/>
      <c r="G99" s="43">
        <v>40</v>
      </c>
      <c r="H99" s="21">
        <v>40</v>
      </c>
      <c r="I99" s="21">
        <v>20</v>
      </c>
      <c r="J99" s="39">
        <v>20</v>
      </c>
      <c r="P99" s="30">
        <f t="shared" si="3"/>
        <v>20</v>
      </c>
      <c r="Q99" s="31">
        <f t="shared" si="4"/>
        <v>0</v>
      </c>
      <c r="R99" s="44">
        <f t="shared" si="5"/>
        <v>20</v>
      </c>
      <c r="V99" s="3" t="s">
        <v>348</v>
      </c>
      <c r="W99" s="3" t="s">
        <v>348</v>
      </c>
      <c r="X99" s="3" t="s">
        <v>348</v>
      </c>
      <c r="Y99" s="3" t="s">
        <v>348</v>
      </c>
      <c r="Z99" s="3">
        <v>20</v>
      </c>
      <c r="AC99" s="3" t="s">
        <v>348</v>
      </c>
      <c r="AF99" s="3" t="s">
        <v>348</v>
      </c>
      <c r="AG99" s="3" t="s">
        <v>348</v>
      </c>
      <c r="AH99" s="3" t="s">
        <v>348</v>
      </c>
      <c r="AI99" s="3" t="s">
        <v>348</v>
      </c>
      <c r="AJ99" s="3" t="s">
        <v>348</v>
      </c>
    </row>
    <row r="100" spans="1:39" s="3" customFormat="1">
      <c r="A100" s="62">
        <v>97</v>
      </c>
      <c r="B100" s="63" t="s">
        <v>107</v>
      </c>
      <c r="C100" s="64" t="s">
        <v>110</v>
      </c>
      <c r="D100" s="63" t="s">
        <v>54</v>
      </c>
      <c r="E100" s="65" t="s">
        <v>36</v>
      </c>
      <c r="F100" s="58"/>
      <c r="G100" s="43">
        <v>2</v>
      </c>
      <c r="H100" s="21">
        <v>2</v>
      </c>
      <c r="I100" s="21">
        <v>2</v>
      </c>
      <c r="J100" s="27">
        <v>0</v>
      </c>
      <c r="P100" s="30">
        <f t="shared" si="3"/>
        <v>0</v>
      </c>
      <c r="Q100" s="31">
        <f t="shared" si="4"/>
        <v>0</v>
      </c>
      <c r="R100" s="44">
        <f t="shared" si="5"/>
        <v>0</v>
      </c>
      <c r="V100" s="3" t="s">
        <v>348</v>
      </c>
      <c r="W100" s="3" t="s">
        <v>348</v>
      </c>
      <c r="X100" s="3" t="s">
        <v>348</v>
      </c>
      <c r="Y100" s="3" t="s">
        <v>348</v>
      </c>
      <c r="Z100" s="3" t="s">
        <v>348</v>
      </c>
      <c r="AC100" s="3" t="s">
        <v>348</v>
      </c>
      <c r="AF100" s="3" t="s">
        <v>348</v>
      </c>
      <c r="AG100" s="3" t="s">
        <v>348</v>
      </c>
      <c r="AH100" s="3" t="s">
        <v>348</v>
      </c>
      <c r="AI100" s="3" t="s">
        <v>348</v>
      </c>
      <c r="AJ100" s="3" t="s">
        <v>348</v>
      </c>
    </row>
    <row r="101" spans="1:39" s="3" customFormat="1">
      <c r="A101" s="62">
        <v>98</v>
      </c>
      <c r="B101" s="63" t="s">
        <v>107</v>
      </c>
      <c r="C101" s="64" t="s">
        <v>111</v>
      </c>
      <c r="D101" s="63" t="s">
        <v>54</v>
      </c>
      <c r="E101" s="65" t="s">
        <v>36</v>
      </c>
      <c r="F101" s="58"/>
      <c r="G101" s="43">
        <v>2</v>
      </c>
      <c r="H101" s="21">
        <v>2</v>
      </c>
      <c r="I101" s="21"/>
      <c r="J101" s="27">
        <v>2</v>
      </c>
      <c r="P101" s="30">
        <f t="shared" si="3"/>
        <v>2</v>
      </c>
      <c r="Q101" s="31">
        <f t="shared" si="4"/>
        <v>0</v>
      </c>
      <c r="R101" s="44">
        <f t="shared" si="5"/>
        <v>2</v>
      </c>
      <c r="V101" s="3" t="s">
        <v>348</v>
      </c>
      <c r="W101" s="3" t="s">
        <v>348</v>
      </c>
      <c r="X101" s="3" t="s">
        <v>348</v>
      </c>
      <c r="Y101" s="3" t="s">
        <v>348</v>
      </c>
      <c r="Z101" s="3">
        <v>2</v>
      </c>
      <c r="AC101" s="3" t="s">
        <v>348</v>
      </c>
      <c r="AF101" s="3" t="s">
        <v>348</v>
      </c>
      <c r="AG101" s="3" t="s">
        <v>348</v>
      </c>
      <c r="AH101" s="3" t="s">
        <v>348</v>
      </c>
      <c r="AI101" s="3" t="s">
        <v>348</v>
      </c>
      <c r="AJ101" s="3" t="s">
        <v>348</v>
      </c>
    </row>
    <row r="102" spans="1:39" s="3" customFormat="1">
      <c r="A102" s="62">
        <v>99</v>
      </c>
      <c r="B102" s="63" t="s">
        <v>107</v>
      </c>
      <c r="C102" s="64" t="s">
        <v>112</v>
      </c>
      <c r="D102" s="63" t="s">
        <v>54</v>
      </c>
      <c r="E102" s="65" t="s">
        <v>36</v>
      </c>
      <c r="F102" s="58"/>
      <c r="G102" s="43">
        <v>2</v>
      </c>
      <c r="H102" s="21">
        <v>2</v>
      </c>
      <c r="I102" s="21">
        <v>2</v>
      </c>
      <c r="J102" s="27">
        <v>0</v>
      </c>
      <c r="P102" s="30">
        <f t="shared" si="3"/>
        <v>0</v>
      </c>
      <c r="Q102" s="31">
        <f t="shared" si="4"/>
        <v>0</v>
      </c>
      <c r="R102" s="44">
        <f t="shared" si="5"/>
        <v>0</v>
      </c>
      <c r="V102" s="3" t="s">
        <v>348</v>
      </c>
      <c r="W102" s="3" t="s">
        <v>348</v>
      </c>
      <c r="X102" s="3" t="s">
        <v>348</v>
      </c>
      <c r="Y102" s="3" t="s">
        <v>348</v>
      </c>
      <c r="Z102" s="3" t="s">
        <v>348</v>
      </c>
      <c r="AC102" s="3" t="s">
        <v>348</v>
      </c>
      <c r="AF102" s="3" t="s">
        <v>348</v>
      </c>
      <c r="AG102" s="3" t="s">
        <v>348</v>
      </c>
      <c r="AH102" s="3" t="s">
        <v>348</v>
      </c>
      <c r="AI102" s="3" t="s">
        <v>348</v>
      </c>
      <c r="AJ102" s="3" t="s">
        <v>348</v>
      </c>
    </row>
    <row r="103" spans="1:39" s="3" customFormat="1">
      <c r="A103" s="62">
        <v>100</v>
      </c>
      <c r="B103" s="63" t="s">
        <v>107</v>
      </c>
      <c r="C103" s="64" t="s">
        <v>113</v>
      </c>
      <c r="D103" s="63" t="s">
        <v>35</v>
      </c>
      <c r="E103" s="65" t="s">
        <v>36</v>
      </c>
      <c r="F103" s="58"/>
      <c r="G103" s="43">
        <v>13</v>
      </c>
      <c r="H103" s="21">
        <v>13</v>
      </c>
      <c r="I103" s="21"/>
      <c r="J103" s="39">
        <v>13</v>
      </c>
      <c r="K103" s="3">
        <v>1</v>
      </c>
      <c r="N103" s="3">
        <v>4</v>
      </c>
      <c r="P103" s="30">
        <f t="shared" si="3"/>
        <v>18</v>
      </c>
      <c r="Q103" s="31">
        <f t="shared" si="4"/>
        <v>0</v>
      </c>
      <c r="R103" s="44">
        <f t="shared" si="5"/>
        <v>18</v>
      </c>
      <c r="V103" s="3" t="s">
        <v>348</v>
      </c>
      <c r="W103" s="3" t="s">
        <v>348</v>
      </c>
      <c r="X103" s="3" t="s">
        <v>348</v>
      </c>
      <c r="Y103" s="3" t="s">
        <v>348</v>
      </c>
      <c r="Z103" s="3">
        <v>13</v>
      </c>
      <c r="AC103" s="3" t="s">
        <v>348</v>
      </c>
      <c r="AF103" s="3" t="s">
        <v>348</v>
      </c>
      <c r="AG103" s="3" t="s">
        <v>348</v>
      </c>
      <c r="AH103" s="3" t="s">
        <v>348</v>
      </c>
      <c r="AI103" s="3" t="s">
        <v>348</v>
      </c>
      <c r="AJ103" s="3" t="s">
        <v>348</v>
      </c>
      <c r="AK103" s="3">
        <v>1</v>
      </c>
      <c r="AM103" s="3">
        <v>4</v>
      </c>
    </row>
    <row r="104" spans="1:39" s="3" customFormat="1">
      <c r="A104" s="62">
        <v>101</v>
      </c>
      <c r="B104" s="63" t="s">
        <v>107</v>
      </c>
      <c r="C104" s="64" t="s">
        <v>114</v>
      </c>
      <c r="D104" s="63" t="s">
        <v>35</v>
      </c>
      <c r="E104" s="65" t="s">
        <v>36</v>
      </c>
      <c r="F104" s="58"/>
      <c r="G104" s="43">
        <v>35</v>
      </c>
      <c r="H104" s="21">
        <v>35</v>
      </c>
      <c r="I104" s="21"/>
      <c r="J104" s="39">
        <v>35</v>
      </c>
      <c r="N104" s="3">
        <v>1</v>
      </c>
      <c r="P104" s="30">
        <f t="shared" si="3"/>
        <v>36</v>
      </c>
      <c r="Q104" s="31">
        <f t="shared" si="4"/>
        <v>0</v>
      </c>
      <c r="R104" s="44">
        <f t="shared" si="5"/>
        <v>36</v>
      </c>
      <c r="V104" s="3" t="s">
        <v>348</v>
      </c>
      <c r="W104" s="3" t="s">
        <v>348</v>
      </c>
      <c r="X104" s="3" t="s">
        <v>348</v>
      </c>
      <c r="Y104" s="3" t="s">
        <v>348</v>
      </c>
      <c r="Z104" s="3" t="s">
        <v>348</v>
      </c>
      <c r="AC104" s="3">
        <v>35</v>
      </c>
      <c r="AF104" s="3" t="s">
        <v>348</v>
      </c>
      <c r="AG104" s="3" t="s">
        <v>348</v>
      </c>
      <c r="AH104" s="3" t="s">
        <v>348</v>
      </c>
      <c r="AI104" s="3" t="s">
        <v>348</v>
      </c>
      <c r="AJ104" s="3" t="s">
        <v>348</v>
      </c>
      <c r="AM104" s="3">
        <v>1</v>
      </c>
    </row>
    <row r="105" spans="1:39" s="3" customFormat="1">
      <c r="A105" s="62">
        <v>102</v>
      </c>
      <c r="B105" s="63" t="s">
        <v>107</v>
      </c>
      <c r="C105" s="64" t="s">
        <v>115</v>
      </c>
      <c r="D105" s="63" t="s">
        <v>35</v>
      </c>
      <c r="E105" s="65" t="s">
        <v>36</v>
      </c>
      <c r="F105" s="58"/>
      <c r="G105" s="43">
        <v>10</v>
      </c>
      <c r="H105" s="21">
        <v>10</v>
      </c>
      <c r="I105" s="21">
        <v>8</v>
      </c>
      <c r="J105" s="27">
        <v>2</v>
      </c>
      <c r="N105" s="3">
        <v>1</v>
      </c>
      <c r="P105" s="30">
        <f t="shared" si="3"/>
        <v>3</v>
      </c>
      <c r="Q105" s="31">
        <f t="shared" si="4"/>
        <v>0</v>
      </c>
      <c r="R105" s="44">
        <f t="shared" si="5"/>
        <v>3</v>
      </c>
      <c r="V105" s="3" t="s">
        <v>348</v>
      </c>
      <c r="W105" s="3" t="s">
        <v>348</v>
      </c>
      <c r="X105" s="3" t="s">
        <v>348</v>
      </c>
      <c r="Y105" s="3" t="s">
        <v>348</v>
      </c>
      <c r="Z105" s="3">
        <v>2</v>
      </c>
      <c r="AC105" s="3" t="s">
        <v>348</v>
      </c>
      <c r="AF105" s="3" t="s">
        <v>348</v>
      </c>
      <c r="AG105" s="3" t="s">
        <v>348</v>
      </c>
      <c r="AH105" s="3" t="s">
        <v>348</v>
      </c>
      <c r="AI105" s="3" t="s">
        <v>348</v>
      </c>
      <c r="AJ105" s="3" t="s">
        <v>348</v>
      </c>
      <c r="AM105" s="3">
        <v>1</v>
      </c>
    </row>
    <row r="106" spans="1:39" s="3" customFormat="1">
      <c r="A106" s="62">
        <v>103</v>
      </c>
      <c r="B106" s="63" t="s">
        <v>107</v>
      </c>
      <c r="C106" s="64" t="s">
        <v>116</v>
      </c>
      <c r="D106" s="63" t="s">
        <v>35</v>
      </c>
      <c r="E106" s="65" t="s">
        <v>36</v>
      </c>
      <c r="F106" s="58"/>
      <c r="G106" s="43">
        <v>1</v>
      </c>
      <c r="H106" s="21">
        <v>1</v>
      </c>
      <c r="I106" s="21"/>
      <c r="J106" s="27">
        <v>1</v>
      </c>
      <c r="P106" s="30">
        <f t="shared" si="3"/>
        <v>1</v>
      </c>
      <c r="Q106" s="31">
        <f t="shared" si="4"/>
        <v>0</v>
      </c>
      <c r="R106" s="44">
        <f t="shared" si="5"/>
        <v>1</v>
      </c>
      <c r="V106" s="3" t="s">
        <v>348</v>
      </c>
      <c r="W106" s="3" t="s">
        <v>348</v>
      </c>
      <c r="X106" s="3" t="s">
        <v>348</v>
      </c>
      <c r="Y106" s="3" t="s">
        <v>348</v>
      </c>
      <c r="Z106" s="3">
        <v>1</v>
      </c>
      <c r="AC106" s="3" t="s">
        <v>348</v>
      </c>
      <c r="AF106" s="3" t="s">
        <v>348</v>
      </c>
      <c r="AG106" s="3" t="s">
        <v>348</v>
      </c>
      <c r="AH106" s="3" t="s">
        <v>348</v>
      </c>
      <c r="AI106" s="3" t="s">
        <v>348</v>
      </c>
      <c r="AJ106" s="3" t="s">
        <v>348</v>
      </c>
    </row>
    <row r="107" spans="1:39" s="3" customFormat="1">
      <c r="A107" s="62">
        <v>104</v>
      </c>
      <c r="B107" s="63" t="s">
        <v>107</v>
      </c>
      <c r="C107" s="64" t="s">
        <v>117</v>
      </c>
      <c r="D107" s="63" t="s">
        <v>35</v>
      </c>
      <c r="E107" s="65" t="s">
        <v>36</v>
      </c>
      <c r="F107" s="58"/>
      <c r="G107" s="43">
        <v>2</v>
      </c>
      <c r="H107" s="21">
        <v>2</v>
      </c>
      <c r="I107" s="21">
        <v>2</v>
      </c>
      <c r="J107" s="27">
        <v>0</v>
      </c>
      <c r="P107" s="30">
        <f t="shared" si="3"/>
        <v>0</v>
      </c>
      <c r="Q107" s="31">
        <f t="shared" si="4"/>
        <v>0</v>
      </c>
      <c r="R107" s="44">
        <f t="shared" si="5"/>
        <v>0</v>
      </c>
      <c r="V107" s="3" t="s">
        <v>348</v>
      </c>
      <c r="W107" s="3" t="s">
        <v>348</v>
      </c>
      <c r="X107" s="3" t="s">
        <v>348</v>
      </c>
      <c r="Y107" s="3" t="s">
        <v>348</v>
      </c>
      <c r="Z107" s="3" t="s">
        <v>348</v>
      </c>
      <c r="AC107" s="3" t="s">
        <v>348</v>
      </c>
      <c r="AF107" s="3" t="s">
        <v>348</v>
      </c>
      <c r="AG107" s="3" t="s">
        <v>348</v>
      </c>
      <c r="AH107" s="3" t="s">
        <v>348</v>
      </c>
      <c r="AI107" s="3" t="s">
        <v>348</v>
      </c>
      <c r="AJ107" s="3" t="s">
        <v>348</v>
      </c>
    </row>
    <row r="108" spans="1:39" s="3" customFormat="1">
      <c r="A108" s="62">
        <v>105</v>
      </c>
      <c r="B108" s="63" t="s">
        <v>124</v>
      </c>
      <c r="C108" s="64" t="s">
        <v>118</v>
      </c>
      <c r="D108" s="63" t="s">
        <v>54</v>
      </c>
      <c r="E108" s="65" t="s">
        <v>36</v>
      </c>
      <c r="F108" s="58"/>
      <c r="G108" s="43">
        <v>4</v>
      </c>
      <c r="H108" s="21">
        <v>4</v>
      </c>
      <c r="I108" s="21"/>
      <c r="J108" s="27">
        <v>4</v>
      </c>
      <c r="P108" s="30">
        <f t="shared" si="3"/>
        <v>4</v>
      </c>
      <c r="Q108" s="31">
        <f t="shared" si="4"/>
        <v>0</v>
      </c>
      <c r="R108" s="44">
        <f t="shared" si="5"/>
        <v>4</v>
      </c>
      <c r="V108" s="3" t="s">
        <v>348</v>
      </c>
      <c r="W108" s="3" t="s">
        <v>348</v>
      </c>
      <c r="X108" s="3" t="s">
        <v>348</v>
      </c>
      <c r="Y108" s="3">
        <v>4</v>
      </c>
      <c r="Z108" s="3" t="s">
        <v>348</v>
      </c>
      <c r="AC108" s="3" t="s">
        <v>348</v>
      </c>
      <c r="AF108" s="3" t="s">
        <v>348</v>
      </c>
      <c r="AG108" s="3" t="s">
        <v>348</v>
      </c>
      <c r="AH108" s="3" t="s">
        <v>348</v>
      </c>
      <c r="AI108" s="3" t="s">
        <v>348</v>
      </c>
      <c r="AJ108" s="3" t="s">
        <v>348</v>
      </c>
    </row>
    <row r="109" spans="1:39" s="3" customFormat="1">
      <c r="A109" s="62">
        <v>106</v>
      </c>
      <c r="B109" s="63" t="s">
        <v>124</v>
      </c>
      <c r="C109" s="64" t="s">
        <v>119</v>
      </c>
      <c r="D109" s="63" t="s">
        <v>54</v>
      </c>
      <c r="E109" s="65" t="s">
        <v>36</v>
      </c>
      <c r="F109" s="58"/>
      <c r="G109" s="43">
        <v>54</v>
      </c>
      <c r="H109" s="21">
        <v>57</v>
      </c>
      <c r="I109" s="21">
        <v>13</v>
      </c>
      <c r="J109" s="27">
        <v>44</v>
      </c>
      <c r="P109" s="30">
        <f t="shared" si="3"/>
        <v>44</v>
      </c>
      <c r="Q109" s="31">
        <f t="shared" si="4"/>
        <v>0</v>
      </c>
      <c r="R109" s="44">
        <f t="shared" si="5"/>
        <v>44</v>
      </c>
      <c r="V109" s="3" t="s">
        <v>348</v>
      </c>
      <c r="W109" s="3" t="s">
        <v>348</v>
      </c>
      <c r="X109" s="3" t="s">
        <v>348</v>
      </c>
      <c r="Y109" s="3">
        <v>44</v>
      </c>
      <c r="Z109" s="3" t="s">
        <v>348</v>
      </c>
      <c r="AC109" s="3" t="s">
        <v>348</v>
      </c>
      <c r="AF109" s="3" t="s">
        <v>348</v>
      </c>
      <c r="AG109" s="3" t="s">
        <v>348</v>
      </c>
      <c r="AH109" s="3" t="s">
        <v>348</v>
      </c>
      <c r="AI109" s="3" t="s">
        <v>348</v>
      </c>
      <c r="AJ109" s="3" t="s">
        <v>348</v>
      </c>
    </row>
    <row r="110" spans="1:39" s="3" customFormat="1">
      <c r="A110" s="62">
        <v>107</v>
      </c>
      <c r="B110" s="63" t="s">
        <v>124</v>
      </c>
      <c r="C110" s="64" t="s">
        <v>120</v>
      </c>
      <c r="D110" s="63" t="s">
        <v>54</v>
      </c>
      <c r="E110" s="65" t="s">
        <v>36</v>
      </c>
      <c r="F110" s="58"/>
      <c r="G110" s="43">
        <v>4</v>
      </c>
      <c r="H110" s="21">
        <v>5</v>
      </c>
      <c r="I110" s="21">
        <v>1</v>
      </c>
      <c r="J110" s="27">
        <v>4</v>
      </c>
      <c r="P110" s="30">
        <f t="shared" si="3"/>
        <v>4</v>
      </c>
      <c r="Q110" s="31">
        <f t="shared" si="4"/>
        <v>0</v>
      </c>
      <c r="R110" s="44">
        <f t="shared" si="5"/>
        <v>4</v>
      </c>
      <c r="V110" s="3" t="s">
        <v>348</v>
      </c>
      <c r="W110" s="3" t="s">
        <v>348</v>
      </c>
      <c r="X110" s="3" t="s">
        <v>348</v>
      </c>
      <c r="Y110" s="3">
        <v>4</v>
      </c>
      <c r="Z110" s="3" t="s">
        <v>348</v>
      </c>
      <c r="AC110" s="3" t="s">
        <v>348</v>
      </c>
      <c r="AF110" s="3" t="s">
        <v>348</v>
      </c>
      <c r="AG110" s="3" t="s">
        <v>348</v>
      </c>
      <c r="AH110" s="3" t="s">
        <v>348</v>
      </c>
      <c r="AI110" s="3" t="s">
        <v>348</v>
      </c>
      <c r="AJ110" s="3" t="s">
        <v>348</v>
      </c>
    </row>
    <row r="111" spans="1:39" s="3" customFormat="1">
      <c r="A111" s="62">
        <v>108</v>
      </c>
      <c r="B111" s="63" t="s">
        <v>124</v>
      </c>
      <c r="C111" s="64" t="s">
        <v>121</v>
      </c>
      <c r="D111" s="63" t="s">
        <v>122</v>
      </c>
      <c r="E111" s="65" t="s">
        <v>36</v>
      </c>
      <c r="F111" s="58"/>
      <c r="G111" s="43">
        <v>4</v>
      </c>
      <c r="H111" s="21">
        <v>4</v>
      </c>
      <c r="I111" s="21"/>
      <c r="J111" s="27">
        <v>4</v>
      </c>
      <c r="P111" s="30">
        <f t="shared" si="3"/>
        <v>4</v>
      </c>
      <c r="Q111" s="31">
        <f t="shared" si="4"/>
        <v>0</v>
      </c>
      <c r="R111" s="44">
        <f t="shared" si="5"/>
        <v>4</v>
      </c>
      <c r="V111" s="3" t="s">
        <v>348</v>
      </c>
      <c r="W111" s="3">
        <v>4</v>
      </c>
      <c r="X111" s="3" t="s">
        <v>348</v>
      </c>
      <c r="Y111" s="3" t="s">
        <v>348</v>
      </c>
      <c r="Z111" s="3" t="s">
        <v>348</v>
      </c>
      <c r="AC111" s="3" t="s">
        <v>348</v>
      </c>
      <c r="AF111" s="3" t="s">
        <v>348</v>
      </c>
      <c r="AG111" s="3" t="s">
        <v>348</v>
      </c>
      <c r="AH111" s="3" t="s">
        <v>348</v>
      </c>
      <c r="AI111" s="3" t="s">
        <v>348</v>
      </c>
      <c r="AJ111" s="3" t="s">
        <v>348</v>
      </c>
    </row>
    <row r="112" spans="1:39" s="3" customFormat="1">
      <c r="A112" s="62">
        <v>109</v>
      </c>
      <c r="B112" s="63" t="s">
        <v>124</v>
      </c>
      <c r="C112" s="64" t="s">
        <v>123</v>
      </c>
      <c r="D112" s="63" t="s">
        <v>122</v>
      </c>
      <c r="E112" s="65" t="s">
        <v>36</v>
      </c>
      <c r="F112" s="58"/>
      <c r="G112" s="43">
        <v>3</v>
      </c>
      <c r="H112" s="21">
        <v>3</v>
      </c>
      <c r="I112" s="21"/>
      <c r="J112" s="27">
        <v>3</v>
      </c>
      <c r="P112" s="30">
        <f t="shared" si="3"/>
        <v>3</v>
      </c>
      <c r="Q112" s="31">
        <f t="shared" si="4"/>
        <v>0</v>
      </c>
      <c r="R112" s="44">
        <f t="shared" si="5"/>
        <v>3</v>
      </c>
      <c r="V112" s="3" t="s">
        <v>348</v>
      </c>
      <c r="W112" s="3">
        <v>3</v>
      </c>
      <c r="X112" s="3" t="s">
        <v>348</v>
      </c>
      <c r="Y112" s="3" t="s">
        <v>348</v>
      </c>
      <c r="Z112" s="3" t="s">
        <v>348</v>
      </c>
      <c r="AC112" s="3" t="s">
        <v>348</v>
      </c>
      <c r="AF112" s="3" t="s">
        <v>348</v>
      </c>
      <c r="AG112" s="3" t="s">
        <v>348</v>
      </c>
      <c r="AH112" s="3" t="s">
        <v>348</v>
      </c>
      <c r="AI112" s="3" t="s">
        <v>348</v>
      </c>
      <c r="AJ112" s="3" t="s">
        <v>348</v>
      </c>
    </row>
    <row r="113" spans="1:36" s="3" customFormat="1">
      <c r="A113" s="62">
        <v>110</v>
      </c>
      <c r="B113" s="63" t="s">
        <v>124</v>
      </c>
      <c r="C113" s="64" t="s">
        <v>125</v>
      </c>
      <c r="D113" s="63" t="s">
        <v>35</v>
      </c>
      <c r="E113" s="65" t="s">
        <v>36</v>
      </c>
      <c r="F113" s="58"/>
      <c r="G113" s="43">
        <v>5</v>
      </c>
      <c r="H113" s="21">
        <v>6</v>
      </c>
      <c r="I113" s="21">
        <v>2</v>
      </c>
      <c r="J113" s="27">
        <v>4</v>
      </c>
      <c r="P113" s="30">
        <f t="shared" si="3"/>
        <v>4</v>
      </c>
      <c r="Q113" s="31">
        <f t="shared" si="4"/>
        <v>0</v>
      </c>
      <c r="R113" s="44">
        <f t="shared" si="5"/>
        <v>4</v>
      </c>
      <c r="V113" s="3" t="s">
        <v>348</v>
      </c>
      <c r="W113" s="3" t="s">
        <v>348</v>
      </c>
      <c r="X113" s="3" t="s">
        <v>348</v>
      </c>
      <c r="Y113" s="3">
        <v>4</v>
      </c>
      <c r="Z113" s="3" t="s">
        <v>348</v>
      </c>
      <c r="AC113" s="3" t="s">
        <v>348</v>
      </c>
      <c r="AF113" s="3" t="s">
        <v>348</v>
      </c>
      <c r="AG113" s="3" t="s">
        <v>348</v>
      </c>
      <c r="AH113" s="3" t="s">
        <v>348</v>
      </c>
      <c r="AI113" s="3" t="s">
        <v>348</v>
      </c>
      <c r="AJ113" s="3" t="s">
        <v>348</v>
      </c>
    </row>
    <row r="114" spans="1:36" s="3" customFormat="1">
      <c r="A114" s="62">
        <v>111</v>
      </c>
      <c r="B114" s="63" t="s">
        <v>124</v>
      </c>
      <c r="C114" s="64" t="s">
        <v>126</v>
      </c>
      <c r="D114" s="63" t="s">
        <v>35</v>
      </c>
      <c r="E114" s="65" t="s">
        <v>36</v>
      </c>
      <c r="F114" s="58"/>
      <c r="G114" s="43">
        <v>18</v>
      </c>
      <c r="H114" s="21">
        <v>18</v>
      </c>
      <c r="I114" s="21">
        <v>17</v>
      </c>
      <c r="J114" s="27">
        <v>1</v>
      </c>
      <c r="P114" s="30">
        <f t="shared" si="3"/>
        <v>1</v>
      </c>
      <c r="Q114" s="31">
        <f t="shared" si="4"/>
        <v>0</v>
      </c>
      <c r="R114" s="44">
        <f t="shared" si="5"/>
        <v>1</v>
      </c>
      <c r="V114" s="3" t="s">
        <v>348</v>
      </c>
      <c r="W114" s="3" t="s">
        <v>348</v>
      </c>
      <c r="X114" s="3" t="s">
        <v>348</v>
      </c>
      <c r="Y114" s="3">
        <v>1</v>
      </c>
      <c r="Z114" s="3" t="s">
        <v>348</v>
      </c>
      <c r="AC114" s="3" t="s">
        <v>348</v>
      </c>
      <c r="AF114" s="3" t="s">
        <v>348</v>
      </c>
      <c r="AG114" s="3" t="s">
        <v>348</v>
      </c>
      <c r="AH114" s="3" t="s">
        <v>348</v>
      </c>
      <c r="AI114" s="3" t="s">
        <v>348</v>
      </c>
      <c r="AJ114" s="3" t="s">
        <v>348</v>
      </c>
    </row>
    <row r="115" spans="1:36" s="3" customFormat="1">
      <c r="A115" s="62">
        <v>112</v>
      </c>
      <c r="B115" s="63" t="s">
        <v>124</v>
      </c>
      <c r="C115" s="64" t="s">
        <v>127</v>
      </c>
      <c r="D115" s="63" t="s">
        <v>35</v>
      </c>
      <c r="E115" s="65" t="s">
        <v>36</v>
      </c>
      <c r="F115" s="58"/>
      <c r="G115" s="43">
        <v>4</v>
      </c>
      <c r="H115" s="21">
        <v>4</v>
      </c>
      <c r="I115" s="21">
        <v>4</v>
      </c>
      <c r="J115" s="27">
        <v>0</v>
      </c>
      <c r="P115" s="30">
        <f t="shared" si="3"/>
        <v>0</v>
      </c>
      <c r="Q115" s="31">
        <f t="shared" si="4"/>
        <v>0</v>
      </c>
      <c r="R115" s="44">
        <f t="shared" si="5"/>
        <v>0</v>
      </c>
      <c r="V115" s="3" t="s">
        <v>348</v>
      </c>
      <c r="W115" s="3" t="s">
        <v>348</v>
      </c>
      <c r="X115" s="3" t="s">
        <v>348</v>
      </c>
      <c r="Y115" s="3" t="s">
        <v>348</v>
      </c>
      <c r="Z115" s="3" t="s">
        <v>348</v>
      </c>
      <c r="AC115" s="3" t="s">
        <v>348</v>
      </c>
      <c r="AF115" s="3" t="s">
        <v>348</v>
      </c>
      <c r="AG115" s="3" t="s">
        <v>348</v>
      </c>
      <c r="AH115" s="3" t="s">
        <v>348</v>
      </c>
      <c r="AI115" s="3" t="s">
        <v>348</v>
      </c>
      <c r="AJ115" s="3" t="s">
        <v>348</v>
      </c>
    </row>
    <row r="116" spans="1:36" s="3" customFormat="1">
      <c r="A116" s="62">
        <v>113</v>
      </c>
      <c r="B116" s="63" t="s">
        <v>124</v>
      </c>
      <c r="C116" s="64" t="s">
        <v>128</v>
      </c>
      <c r="D116" s="63" t="s">
        <v>40</v>
      </c>
      <c r="E116" s="65" t="s">
        <v>36</v>
      </c>
      <c r="F116" s="58"/>
      <c r="G116" s="43">
        <v>22</v>
      </c>
      <c r="H116" s="21">
        <v>22</v>
      </c>
      <c r="I116" s="21">
        <v>8</v>
      </c>
      <c r="J116" s="39">
        <v>14</v>
      </c>
      <c r="P116" s="30">
        <f t="shared" si="3"/>
        <v>14</v>
      </c>
      <c r="Q116" s="31">
        <f t="shared" si="4"/>
        <v>0</v>
      </c>
      <c r="R116" s="44">
        <f t="shared" si="5"/>
        <v>14</v>
      </c>
      <c r="V116" s="3">
        <v>13</v>
      </c>
      <c r="W116" s="3" t="s">
        <v>348</v>
      </c>
      <c r="X116" s="3" t="s">
        <v>348</v>
      </c>
      <c r="Y116" s="3" t="s">
        <v>348</v>
      </c>
      <c r="Z116" s="3">
        <v>1</v>
      </c>
      <c r="AC116" s="3" t="s">
        <v>348</v>
      </c>
      <c r="AF116" s="3" t="s">
        <v>348</v>
      </c>
      <c r="AG116" s="3" t="s">
        <v>348</v>
      </c>
      <c r="AH116" s="3" t="s">
        <v>348</v>
      </c>
      <c r="AI116" s="3" t="s">
        <v>348</v>
      </c>
      <c r="AJ116" s="3" t="s">
        <v>348</v>
      </c>
    </row>
    <row r="117" spans="1:36" s="3" customFormat="1">
      <c r="A117" s="62">
        <v>114</v>
      </c>
      <c r="B117" s="63" t="s">
        <v>124</v>
      </c>
      <c r="C117" s="64" t="s">
        <v>129</v>
      </c>
      <c r="D117" s="63" t="s">
        <v>40</v>
      </c>
      <c r="E117" s="65" t="s">
        <v>36</v>
      </c>
      <c r="F117" s="58"/>
      <c r="G117" s="43">
        <v>8</v>
      </c>
      <c r="H117" s="21">
        <v>8</v>
      </c>
      <c r="I117" s="21">
        <v>8</v>
      </c>
      <c r="J117" s="27">
        <v>0</v>
      </c>
      <c r="P117" s="30">
        <f t="shared" si="3"/>
        <v>0</v>
      </c>
      <c r="Q117" s="31">
        <f t="shared" si="4"/>
        <v>0</v>
      </c>
      <c r="R117" s="44">
        <f t="shared" si="5"/>
        <v>0</v>
      </c>
      <c r="V117" s="3" t="s">
        <v>348</v>
      </c>
      <c r="W117" s="3" t="s">
        <v>348</v>
      </c>
      <c r="X117" s="3" t="s">
        <v>348</v>
      </c>
      <c r="Y117" s="3" t="s">
        <v>348</v>
      </c>
      <c r="Z117" s="3" t="s">
        <v>348</v>
      </c>
      <c r="AC117" s="3" t="s">
        <v>348</v>
      </c>
      <c r="AF117" s="3" t="s">
        <v>348</v>
      </c>
      <c r="AG117" s="3" t="s">
        <v>348</v>
      </c>
      <c r="AH117" s="3" t="s">
        <v>348</v>
      </c>
      <c r="AI117" s="3" t="s">
        <v>348</v>
      </c>
      <c r="AJ117" s="3" t="s">
        <v>348</v>
      </c>
    </row>
    <row r="118" spans="1:36" s="3" customFormat="1">
      <c r="A118" s="62">
        <v>115</v>
      </c>
      <c r="B118" s="63" t="s">
        <v>124</v>
      </c>
      <c r="C118" s="64" t="s">
        <v>130</v>
      </c>
      <c r="D118" s="63" t="s">
        <v>40</v>
      </c>
      <c r="E118" s="65" t="s">
        <v>36</v>
      </c>
      <c r="F118" s="58"/>
      <c r="G118" s="43">
        <v>8</v>
      </c>
      <c r="H118" s="21">
        <v>8</v>
      </c>
      <c r="I118" s="21">
        <v>1</v>
      </c>
      <c r="J118" s="27">
        <v>7</v>
      </c>
      <c r="P118" s="30">
        <f t="shared" si="3"/>
        <v>7</v>
      </c>
      <c r="Q118" s="31">
        <f t="shared" si="4"/>
        <v>0</v>
      </c>
      <c r="R118" s="44">
        <f t="shared" si="5"/>
        <v>7</v>
      </c>
      <c r="V118" s="3">
        <v>7</v>
      </c>
      <c r="W118" s="3" t="s">
        <v>348</v>
      </c>
      <c r="X118" s="3" t="s">
        <v>348</v>
      </c>
      <c r="Y118" s="3" t="s">
        <v>348</v>
      </c>
      <c r="Z118" s="3" t="s">
        <v>348</v>
      </c>
      <c r="AC118" s="3" t="s">
        <v>348</v>
      </c>
      <c r="AF118" s="3" t="s">
        <v>348</v>
      </c>
      <c r="AG118" s="3" t="s">
        <v>348</v>
      </c>
      <c r="AH118" s="3" t="s">
        <v>348</v>
      </c>
      <c r="AI118" s="3" t="s">
        <v>348</v>
      </c>
      <c r="AJ118" s="3" t="s">
        <v>348</v>
      </c>
    </row>
    <row r="119" spans="1:36" s="3" customFormat="1">
      <c r="A119" s="62">
        <v>116</v>
      </c>
      <c r="B119" s="63" t="s">
        <v>124</v>
      </c>
      <c r="C119" s="64" t="s">
        <v>131</v>
      </c>
      <c r="D119" s="63" t="s">
        <v>40</v>
      </c>
      <c r="E119" s="65" t="s">
        <v>36</v>
      </c>
      <c r="F119" s="58"/>
      <c r="G119" s="43">
        <v>2</v>
      </c>
      <c r="H119" s="21">
        <v>2</v>
      </c>
      <c r="I119" s="21">
        <v>2</v>
      </c>
      <c r="J119" s="27">
        <v>0</v>
      </c>
      <c r="P119" s="30">
        <f t="shared" si="3"/>
        <v>0</v>
      </c>
      <c r="Q119" s="31">
        <f t="shared" si="4"/>
        <v>0</v>
      </c>
      <c r="R119" s="44">
        <f t="shared" si="5"/>
        <v>0</v>
      </c>
      <c r="V119" s="3" t="s">
        <v>348</v>
      </c>
      <c r="W119" s="3" t="s">
        <v>348</v>
      </c>
      <c r="X119" s="3" t="s">
        <v>348</v>
      </c>
      <c r="Y119" s="3" t="s">
        <v>348</v>
      </c>
      <c r="Z119" s="3" t="s">
        <v>348</v>
      </c>
      <c r="AC119" s="3" t="s">
        <v>348</v>
      </c>
      <c r="AF119" s="3" t="s">
        <v>348</v>
      </c>
      <c r="AG119" s="3" t="s">
        <v>348</v>
      </c>
      <c r="AH119" s="3" t="s">
        <v>348</v>
      </c>
      <c r="AI119" s="3" t="s">
        <v>348</v>
      </c>
      <c r="AJ119" s="3" t="s">
        <v>348</v>
      </c>
    </row>
    <row r="120" spans="1:36" s="3" customFormat="1">
      <c r="A120" s="62">
        <v>117</v>
      </c>
      <c r="B120" s="63" t="s">
        <v>132</v>
      </c>
      <c r="C120" s="64" t="s">
        <v>133</v>
      </c>
      <c r="D120" s="63" t="s">
        <v>35</v>
      </c>
      <c r="E120" s="65" t="s">
        <v>36</v>
      </c>
      <c r="F120" s="58"/>
      <c r="G120" s="43">
        <v>15</v>
      </c>
      <c r="H120" s="21">
        <v>15</v>
      </c>
      <c r="I120" s="21">
        <v>11</v>
      </c>
      <c r="J120" s="39">
        <v>4</v>
      </c>
      <c r="P120" s="30">
        <f t="shared" si="3"/>
        <v>4</v>
      </c>
      <c r="Q120" s="31">
        <f t="shared" si="4"/>
        <v>0</v>
      </c>
      <c r="R120" s="44">
        <f t="shared" si="5"/>
        <v>4</v>
      </c>
      <c r="V120" s="3" t="s">
        <v>348</v>
      </c>
      <c r="W120" s="3" t="s">
        <v>348</v>
      </c>
      <c r="X120" s="3" t="s">
        <v>348</v>
      </c>
      <c r="Y120" s="3">
        <v>4</v>
      </c>
      <c r="Z120" s="3" t="s">
        <v>348</v>
      </c>
      <c r="AC120" s="3" t="s">
        <v>348</v>
      </c>
      <c r="AF120" s="3" t="s">
        <v>348</v>
      </c>
      <c r="AG120" s="3" t="s">
        <v>348</v>
      </c>
      <c r="AH120" s="3" t="s">
        <v>348</v>
      </c>
      <c r="AI120" s="3" t="s">
        <v>348</v>
      </c>
      <c r="AJ120" s="3" t="s">
        <v>348</v>
      </c>
    </row>
    <row r="121" spans="1:36" s="3" customFormat="1">
      <c r="A121" s="62">
        <v>118</v>
      </c>
      <c r="B121" s="63" t="s">
        <v>132</v>
      </c>
      <c r="C121" s="64" t="s">
        <v>134</v>
      </c>
      <c r="D121" s="63" t="s">
        <v>35</v>
      </c>
      <c r="E121" s="65" t="s">
        <v>36</v>
      </c>
      <c r="F121" s="58"/>
      <c r="G121" s="43">
        <v>2</v>
      </c>
      <c r="H121" s="21">
        <v>2</v>
      </c>
      <c r="I121" s="21">
        <v>1</v>
      </c>
      <c r="J121" s="27">
        <v>1</v>
      </c>
      <c r="P121" s="30">
        <f t="shared" si="3"/>
        <v>1</v>
      </c>
      <c r="Q121" s="31">
        <f t="shared" si="4"/>
        <v>0</v>
      </c>
      <c r="R121" s="44">
        <f t="shared" si="5"/>
        <v>1</v>
      </c>
      <c r="V121" s="3" t="s">
        <v>348</v>
      </c>
      <c r="W121" s="3" t="s">
        <v>348</v>
      </c>
      <c r="X121" s="3" t="s">
        <v>348</v>
      </c>
      <c r="Y121" s="3">
        <v>1</v>
      </c>
      <c r="Z121" s="3" t="s">
        <v>348</v>
      </c>
      <c r="AC121" s="3" t="s">
        <v>348</v>
      </c>
      <c r="AF121" s="3" t="s">
        <v>348</v>
      </c>
      <c r="AG121" s="3" t="s">
        <v>348</v>
      </c>
      <c r="AH121" s="3" t="s">
        <v>348</v>
      </c>
      <c r="AI121" s="3" t="s">
        <v>348</v>
      </c>
      <c r="AJ121" s="3" t="s">
        <v>348</v>
      </c>
    </row>
    <row r="122" spans="1:36" s="3" customFormat="1">
      <c r="A122" s="62">
        <v>119</v>
      </c>
      <c r="B122" s="63" t="s">
        <v>132</v>
      </c>
      <c r="C122" s="64" t="s">
        <v>135</v>
      </c>
      <c r="D122" s="63" t="s">
        <v>40</v>
      </c>
      <c r="E122" s="65" t="s">
        <v>36</v>
      </c>
      <c r="F122" s="58"/>
      <c r="G122" s="43">
        <v>29</v>
      </c>
      <c r="H122" s="21">
        <v>29</v>
      </c>
      <c r="I122" s="21"/>
      <c r="J122" s="27">
        <v>29</v>
      </c>
      <c r="P122" s="30">
        <f t="shared" si="3"/>
        <v>29</v>
      </c>
      <c r="Q122" s="31">
        <f t="shared" si="4"/>
        <v>0</v>
      </c>
      <c r="R122" s="44">
        <f t="shared" si="5"/>
        <v>29</v>
      </c>
      <c r="V122" s="3">
        <v>29</v>
      </c>
      <c r="W122" s="3" t="s">
        <v>348</v>
      </c>
      <c r="X122" s="3" t="s">
        <v>348</v>
      </c>
      <c r="Y122" s="3" t="s">
        <v>348</v>
      </c>
      <c r="Z122" s="3" t="s">
        <v>348</v>
      </c>
      <c r="AC122" s="3" t="s">
        <v>348</v>
      </c>
      <c r="AF122" s="3" t="s">
        <v>348</v>
      </c>
      <c r="AG122" s="3" t="s">
        <v>348</v>
      </c>
      <c r="AH122" s="3" t="s">
        <v>348</v>
      </c>
      <c r="AI122" s="3" t="s">
        <v>348</v>
      </c>
      <c r="AJ122" s="3" t="s">
        <v>348</v>
      </c>
    </row>
    <row r="123" spans="1:36" s="3" customFormat="1">
      <c r="A123" s="62">
        <v>120</v>
      </c>
      <c r="B123" s="63" t="s">
        <v>132</v>
      </c>
      <c r="C123" s="64" t="s">
        <v>136</v>
      </c>
      <c r="D123" s="63" t="s">
        <v>40</v>
      </c>
      <c r="E123" s="65" t="s">
        <v>36</v>
      </c>
      <c r="F123" s="58"/>
      <c r="G123" s="43">
        <v>3</v>
      </c>
      <c r="H123" s="21">
        <v>3</v>
      </c>
      <c r="I123" s="21"/>
      <c r="J123" s="27">
        <v>3</v>
      </c>
      <c r="P123" s="30">
        <f t="shared" si="3"/>
        <v>3</v>
      </c>
      <c r="Q123" s="31">
        <f t="shared" si="4"/>
        <v>0</v>
      </c>
      <c r="R123" s="44">
        <f t="shared" si="5"/>
        <v>3</v>
      </c>
      <c r="V123" s="3">
        <v>3</v>
      </c>
      <c r="W123" s="3" t="s">
        <v>348</v>
      </c>
      <c r="X123" s="3" t="s">
        <v>348</v>
      </c>
      <c r="Y123" s="3" t="s">
        <v>348</v>
      </c>
      <c r="Z123" s="3" t="s">
        <v>348</v>
      </c>
      <c r="AC123" s="3" t="s">
        <v>348</v>
      </c>
      <c r="AF123" s="3" t="s">
        <v>348</v>
      </c>
      <c r="AG123" s="3" t="s">
        <v>348</v>
      </c>
      <c r="AH123" s="3" t="s">
        <v>348</v>
      </c>
      <c r="AI123" s="3" t="s">
        <v>348</v>
      </c>
      <c r="AJ123" s="3" t="s">
        <v>348</v>
      </c>
    </row>
    <row r="124" spans="1:36" s="3" customFormat="1">
      <c r="A124" s="62">
        <v>121</v>
      </c>
      <c r="B124" s="63" t="s">
        <v>132</v>
      </c>
      <c r="C124" s="64" t="s">
        <v>137</v>
      </c>
      <c r="D124" s="63" t="s">
        <v>40</v>
      </c>
      <c r="E124" s="65" t="s">
        <v>36</v>
      </c>
      <c r="F124" s="58"/>
      <c r="G124" s="43">
        <v>2</v>
      </c>
      <c r="H124" s="21">
        <v>2</v>
      </c>
      <c r="I124" s="21"/>
      <c r="J124" s="39">
        <v>2</v>
      </c>
      <c r="P124" s="30">
        <f t="shared" si="3"/>
        <v>2</v>
      </c>
      <c r="Q124" s="31">
        <f t="shared" si="4"/>
        <v>0</v>
      </c>
      <c r="R124" s="44">
        <f t="shared" si="5"/>
        <v>2</v>
      </c>
      <c r="V124" s="3" t="s">
        <v>348</v>
      </c>
      <c r="W124" s="3">
        <v>1</v>
      </c>
      <c r="X124" s="3" t="s">
        <v>348</v>
      </c>
      <c r="Y124" s="3" t="s">
        <v>348</v>
      </c>
      <c r="Z124" s="3">
        <v>1</v>
      </c>
      <c r="AC124" s="3" t="s">
        <v>348</v>
      </c>
      <c r="AF124" s="3" t="s">
        <v>348</v>
      </c>
      <c r="AG124" s="3" t="s">
        <v>348</v>
      </c>
      <c r="AH124" s="3" t="s">
        <v>348</v>
      </c>
      <c r="AI124" s="3" t="s">
        <v>348</v>
      </c>
      <c r="AJ124" s="3" t="s">
        <v>348</v>
      </c>
    </row>
    <row r="125" spans="1:36" s="3" customFormat="1">
      <c r="A125" s="62">
        <v>122</v>
      </c>
      <c r="B125" s="63" t="s">
        <v>132</v>
      </c>
      <c r="C125" s="64" t="s">
        <v>138</v>
      </c>
      <c r="D125" s="63" t="s">
        <v>40</v>
      </c>
      <c r="E125" s="65" t="s">
        <v>36</v>
      </c>
      <c r="F125" s="58"/>
      <c r="G125" s="43">
        <v>10</v>
      </c>
      <c r="H125" s="21">
        <v>10</v>
      </c>
      <c r="I125" s="21"/>
      <c r="J125" s="39">
        <v>10</v>
      </c>
      <c r="P125" s="30">
        <f t="shared" si="3"/>
        <v>10</v>
      </c>
      <c r="Q125" s="31">
        <f t="shared" si="4"/>
        <v>0</v>
      </c>
      <c r="R125" s="44">
        <f t="shared" si="5"/>
        <v>10</v>
      </c>
      <c r="V125" s="3">
        <v>8</v>
      </c>
      <c r="W125" s="3" t="s">
        <v>348</v>
      </c>
      <c r="X125" s="3" t="s">
        <v>348</v>
      </c>
      <c r="Y125" s="3" t="s">
        <v>348</v>
      </c>
      <c r="Z125" s="3">
        <v>2</v>
      </c>
      <c r="AC125" s="3" t="s">
        <v>348</v>
      </c>
      <c r="AF125" s="3" t="s">
        <v>348</v>
      </c>
      <c r="AG125" s="3" t="s">
        <v>348</v>
      </c>
      <c r="AH125" s="3" t="s">
        <v>348</v>
      </c>
      <c r="AI125" s="3" t="s">
        <v>348</v>
      </c>
      <c r="AJ125" s="3" t="s">
        <v>348</v>
      </c>
    </row>
    <row r="126" spans="1:36" s="3" customFormat="1">
      <c r="A126" s="62">
        <v>123</v>
      </c>
      <c r="B126" s="63" t="s">
        <v>132</v>
      </c>
      <c r="C126" s="64" t="s">
        <v>139</v>
      </c>
      <c r="D126" s="63" t="s">
        <v>40</v>
      </c>
      <c r="E126" s="65" t="s">
        <v>36</v>
      </c>
      <c r="F126" s="58"/>
      <c r="G126" s="43">
        <v>1</v>
      </c>
      <c r="H126" s="21">
        <v>2</v>
      </c>
      <c r="I126" s="21"/>
      <c r="J126" s="27">
        <v>2</v>
      </c>
      <c r="P126" s="30">
        <f t="shared" si="3"/>
        <v>2</v>
      </c>
      <c r="Q126" s="31">
        <f t="shared" si="4"/>
        <v>0</v>
      </c>
      <c r="R126" s="44">
        <f t="shared" si="5"/>
        <v>2</v>
      </c>
      <c r="V126" s="3">
        <v>2</v>
      </c>
      <c r="W126" s="3" t="s">
        <v>348</v>
      </c>
      <c r="X126" s="3" t="s">
        <v>348</v>
      </c>
      <c r="Y126" s="3" t="s">
        <v>348</v>
      </c>
      <c r="Z126" s="3" t="s">
        <v>348</v>
      </c>
      <c r="AC126" s="3" t="s">
        <v>348</v>
      </c>
      <c r="AF126" s="3" t="s">
        <v>348</v>
      </c>
      <c r="AG126" s="3" t="s">
        <v>348</v>
      </c>
      <c r="AH126" s="3" t="s">
        <v>348</v>
      </c>
      <c r="AI126" s="3" t="s">
        <v>348</v>
      </c>
      <c r="AJ126" s="3" t="s">
        <v>348</v>
      </c>
    </row>
    <row r="127" spans="1:36" s="3" customFormat="1">
      <c r="A127" s="62">
        <v>124</v>
      </c>
      <c r="B127" s="63" t="s">
        <v>132</v>
      </c>
      <c r="C127" s="64" t="s">
        <v>140</v>
      </c>
      <c r="D127" s="63" t="s">
        <v>40</v>
      </c>
      <c r="E127" s="65" t="s">
        <v>36</v>
      </c>
      <c r="F127" s="58"/>
      <c r="G127" s="43">
        <v>9</v>
      </c>
      <c r="H127" s="21">
        <v>9</v>
      </c>
      <c r="I127" s="21">
        <v>3</v>
      </c>
      <c r="J127" s="27">
        <v>6</v>
      </c>
      <c r="P127" s="30">
        <f t="shared" si="3"/>
        <v>6</v>
      </c>
      <c r="Q127" s="31">
        <f t="shared" si="4"/>
        <v>0</v>
      </c>
      <c r="R127" s="44">
        <f t="shared" si="5"/>
        <v>6</v>
      </c>
      <c r="V127" s="3">
        <v>6</v>
      </c>
      <c r="W127" s="3" t="s">
        <v>348</v>
      </c>
      <c r="X127" s="3" t="s">
        <v>348</v>
      </c>
      <c r="Y127" s="3" t="s">
        <v>348</v>
      </c>
      <c r="Z127" s="3" t="s">
        <v>348</v>
      </c>
      <c r="AC127" s="3" t="s">
        <v>348</v>
      </c>
      <c r="AF127" s="3" t="s">
        <v>348</v>
      </c>
      <c r="AG127" s="3" t="s">
        <v>348</v>
      </c>
      <c r="AH127" s="3" t="s">
        <v>348</v>
      </c>
      <c r="AI127" s="3" t="s">
        <v>348</v>
      </c>
      <c r="AJ127" s="3" t="s">
        <v>348</v>
      </c>
    </row>
    <row r="128" spans="1:36" s="3" customFormat="1">
      <c r="A128" s="62">
        <v>125</v>
      </c>
      <c r="B128" s="63" t="s">
        <v>132</v>
      </c>
      <c r="C128" s="64" t="s">
        <v>141</v>
      </c>
      <c r="D128" s="63" t="s">
        <v>40</v>
      </c>
      <c r="E128" s="65" t="s">
        <v>36</v>
      </c>
      <c r="F128" s="58"/>
      <c r="G128" s="43">
        <v>0</v>
      </c>
      <c r="H128" s="21">
        <v>1</v>
      </c>
      <c r="I128" s="21">
        <v>1</v>
      </c>
      <c r="J128" s="27">
        <v>0</v>
      </c>
      <c r="P128" s="30">
        <f t="shared" si="3"/>
        <v>0</v>
      </c>
      <c r="Q128" s="31">
        <f t="shared" si="4"/>
        <v>0</v>
      </c>
      <c r="R128" s="44">
        <f t="shared" si="5"/>
        <v>0</v>
      </c>
      <c r="V128" s="3" t="s">
        <v>348</v>
      </c>
      <c r="W128" s="3" t="s">
        <v>348</v>
      </c>
      <c r="X128" s="3" t="s">
        <v>348</v>
      </c>
      <c r="Y128" s="3" t="s">
        <v>348</v>
      </c>
      <c r="Z128" s="3" t="s">
        <v>348</v>
      </c>
      <c r="AC128" s="3" t="s">
        <v>348</v>
      </c>
      <c r="AF128" s="3" t="s">
        <v>348</v>
      </c>
      <c r="AG128" s="3" t="s">
        <v>348</v>
      </c>
      <c r="AH128" s="3" t="s">
        <v>348</v>
      </c>
      <c r="AI128" s="3" t="s">
        <v>348</v>
      </c>
      <c r="AJ128" s="3" t="s">
        <v>348</v>
      </c>
    </row>
    <row r="129" spans="1:39" s="3" customFormat="1">
      <c r="A129" s="62">
        <v>126</v>
      </c>
      <c r="B129" s="63" t="s">
        <v>132</v>
      </c>
      <c r="C129" s="64" t="s">
        <v>142</v>
      </c>
      <c r="D129" s="63" t="s">
        <v>40</v>
      </c>
      <c r="E129" s="65" t="s">
        <v>36</v>
      </c>
      <c r="F129" s="58"/>
      <c r="G129" s="43">
        <v>0</v>
      </c>
      <c r="H129" s="21">
        <v>2</v>
      </c>
      <c r="I129" s="21"/>
      <c r="J129" s="27">
        <v>2</v>
      </c>
      <c r="P129" s="30">
        <f t="shared" si="3"/>
        <v>2</v>
      </c>
      <c r="Q129" s="31">
        <f t="shared" si="4"/>
        <v>0</v>
      </c>
      <c r="R129" s="44">
        <f t="shared" si="5"/>
        <v>2</v>
      </c>
      <c r="V129" s="3">
        <v>2</v>
      </c>
      <c r="W129" s="3" t="s">
        <v>348</v>
      </c>
      <c r="X129" s="3" t="s">
        <v>348</v>
      </c>
      <c r="Y129" s="3" t="s">
        <v>348</v>
      </c>
      <c r="Z129" s="3" t="s">
        <v>348</v>
      </c>
      <c r="AC129" s="3" t="s">
        <v>348</v>
      </c>
      <c r="AF129" s="3" t="s">
        <v>348</v>
      </c>
      <c r="AG129" s="3" t="s">
        <v>348</v>
      </c>
      <c r="AH129" s="3" t="s">
        <v>348</v>
      </c>
      <c r="AI129" s="3" t="s">
        <v>348</v>
      </c>
      <c r="AJ129" s="3" t="s">
        <v>348</v>
      </c>
    </row>
    <row r="130" spans="1:39" s="3" customFormat="1" ht="32.4">
      <c r="A130" s="62">
        <v>127</v>
      </c>
      <c r="B130" s="63" t="s">
        <v>132</v>
      </c>
      <c r="C130" s="64" t="s">
        <v>143</v>
      </c>
      <c r="D130" s="63" t="s">
        <v>54</v>
      </c>
      <c r="E130" s="65" t="s">
        <v>36</v>
      </c>
      <c r="F130" s="58"/>
      <c r="G130" s="43">
        <v>46</v>
      </c>
      <c r="H130" s="21">
        <v>46</v>
      </c>
      <c r="I130" s="21">
        <v>7</v>
      </c>
      <c r="J130" s="39">
        <v>39</v>
      </c>
      <c r="P130" s="30">
        <f t="shared" si="3"/>
        <v>39</v>
      </c>
      <c r="Q130" s="31">
        <f t="shared" si="4"/>
        <v>0</v>
      </c>
      <c r="R130" s="44">
        <f t="shared" si="5"/>
        <v>39</v>
      </c>
      <c r="V130" s="3" t="s">
        <v>348</v>
      </c>
      <c r="W130" s="3" t="s">
        <v>348</v>
      </c>
      <c r="X130" s="3" t="s">
        <v>348</v>
      </c>
      <c r="Y130" s="3">
        <v>39</v>
      </c>
      <c r="Z130" s="3" t="s">
        <v>348</v>
      </c>
      <c r="AC130" s="3" t="s">
        <v>348</v>
      </c>
      <c r="AF130" s="3" t="s">
        <v>348</v>
      </c>
      <c r="AG130" s="3" t="s">
        <v>348</v>
      </c>
      <c r="AH130" s="3" t="s">
        <v>348</v>
      </c>
      <c r="AI130" s="3" t="s">
        <v>348</v>
      </c>
      <c r="AJ130" s="3" t="s">
        <v>348</v>
      </c>
    </row>
    <row r="131" spans="1:39" s="3" customFormat="1" ht="32.4">
      <c r="A131" s="62">
        <v>128</v>
      </c>
      <c r="B131" s="63" t="s">
        <v>132</v>
      </c>
      <c r="C131" s="64" t="s">
        <v>144</v>
      </c>
      <c r="D131" s="63" t="s">
        <v>54</v>
      </c>
      <c r="E131" s="65" t="s">
        <v>36</v>
      </c>
      <c r="F131" s="58"/>
      <c r="G131" s="43">
        <v>2</v>
      </c>
      <c r="H131" s="21">
        <v>2</v>
      </c>
      <c r="I131" s="21"/>
      <c r="J131" s="27">
        <v>2</v>
      </c>
      <c r="P131" s="30">
        <f t="shared" si="3"/>
        <v>2</v>
      </c>
      <c r="Q131" s="31">
        <f t="shared" si="4"/>
        <v>0</v>
      </c>
      <c r="R131" s="44">
        <f t="shared" si="5"/>
        <v>2</v>
      </c>
      <c r="V131" s="3" t="s">
        <v>348</v>
      </c>
      <c r="W131" s="3" t="s">
        <v>348</v>
      </c>
      <c r="X131" s="3" t="s">
        <v>348</v>
      </c>
      <c r="Y131" s="3">
        <v>2</v>
      </c>
      <c r="Z131" s="3" t="s">
        <v>348</v>
      </c>
      <c r="AC131" s="3" t="s">
        <v>348</v>
      </c>
      <c r="AF131" s="3" t="s">
        <v>348</v>
      </c>
      <c r="AG131" s="3" t="s">
        <v>348</v>
      </c>
      <c r="AH131" s="3" t="s">
        <v>348</v>
      </c>
      <c r="AI131" s="3" t="s">
        <v>348</v>
      </c>
      <c r="AJ131" s="3" t="s">
        <v>348</v>
      </c>
    </row>
    <row r="132" spans="1:39" s="3" customFormat="1" ht="32.4">
      <c r="A132" s="62">
        <v>129</v>
      </c>
      <c r="B132" s="63" t="s">
        <v>132</v>
      </c>
      <c r="C132" s="64" t="s">
        <v>145</v>
      </c>
      <c r="D132" s="63" t="s">
        <v>54</v>
      </c>
      <c r="E132" s="65" t="s">
        <v>36</v>
      </c>
      <c r="F132" s="58"/>
      <c r="G132" s="43">
        <v>1</v>
      </c>
      <c r="H132" s="21">
        <v>1</v>
      </c>
      <c r="I132" s="21"/>
      <c r="J132" s="27">
        <v>1</v>
      </c>
      <c r="P132" s="30">
        <f t="shared" si="3"/>
        <v>1</v>
      </c>
      <c r="Q132" s="31">
        <f t="shared" si="4"/>
        <v>0</v>
      </c>
      <c r="R132" s="44">
        <f t="shared" si="5"/>
        <v>1</v>
      </c>
      <c r="V132" s="3" t="s">
        <v>348</v>
      </c>
      <c r="W132" s="3" t="s">
        <v>348</v>
      </c>
      <c r="X132" s="3" t="s">
        <v>348</v>
      </c>
      <c r="Y132" s="3">
        <v>1</v>
      </c>
      <c r="Z132" s="3" t="s">
        <v>348</v>
      </c>
      <c r="AC132" s="3" t="s">
        <v>348</v>
      </c>
      <c r="AF132" s="3" t="s">
        <v>348</v>
      </c>
      <c r="AG132" s="3" t="s">
        <v>348</v>
      </c>
      <c r="AH132" s="3" t="s">
        <v>348</v>
      </c>
      <c r="AI132" s="3" t="s">
        <v>348</v>
      </c>
      <c r="AJ132" s="3" t="s">
        <v>348</v>
      </c>
    </row>
    <row r="133" spans="1:39" s="3" customFormat="1" ht="32.4">
      <c r="A133" s="62">
        <v>130</v>
      </c>
      <c r="B133" s="63" t="s">
        <v>132</v>
      </c>
      <c r="C133" s="64" t="s">
        <v>146</v>
      </c>
      <c r="D133" s="63" t="s">
        <v>54</v>
      </c>
      <c r="E133" s="65" t="s">
        <v>36</v>
      </c>
      <c r="F133" s="58"/>
      <c r="G133" s="43">
        <v>2</v>
      </c>
      <c r="H133" s="21">
        <v>2</v>
      </c>
      <c r="I133" s="21">
        <v>2</v>
      </c>
      <c r="J133" s="27">
        <v>0</v>
      </c>
      <c r="P133" s="30">
        <f t="shared" ref="P133:P196" si="6">SUM(J133:O133)</f>
        <v>0</v>
      </c>
      <c r="Q133" s="31">
        <f t="shared" ref="Q133:Q196" si="7">+R133-P133</f>
        <v>0</v>
      </c>
      <c r="R133" s="44">
        <f t="shared" ref="R133:R196" si="8">SUM(S133:FB133)</f>
        <v>0</v>
      </c>
      <c r="V133" s="3" t="s">
        <v>348</v>
      </c>
      <c r="W133" s="3" t="s">
        <v>348</v>
      </c>
      <c r="X133" s="3" t="s">
        <v>348</v>
      </c>
      <c r="Y133" s="3" t="s">
        <v>348</v>
      </c>
      <c r="Z133" s="3" t="s">
        <v>348</v>
      </c>
      <c r="AC133" s="3" t="s">
        <v>348</v>
      </c>
      <c r="AF133" s="3" t="s">
        <v>348</v>
      </c>
      <c r="AG133" s="3" t="s">
        <v>348</v>
      </c>
      <c r="AH133" s="3" t="s">
        <v>348</v>
      </c>
      <c r="AI133" s="3" t="s">
        <v>348</v>
      </c>
      <c r="AJ133" s="3" t="s">
        <v>348</v>
      </c>
    </row>
    <row r="134" spans="1:39" s="3" customFormat="1" ht="32.4">
      <c r="A134" s="62">
        <v>131</v>
      </c>
      <c r="B134" s="63" t="s">
        <v>132</v>
      </c>
      <c r="C134" s="64" t="s">
        <v>147</v>
      </c>
      <c r="D134" s="63" t="s">
        <v>54</v>
      </c>
      <c r="E134" s="65" t="s">
        <v>36</v>
      </c>
      <c r="F134" s="58"/>
      <c r="G134" s="43">
        <v>26</v>
      </c>
      <c r="H134" s="21">
        <v>26</v>
      </c>
      <c r="I134" s="21">
        <v>4</v>
      </c>
      <c r="J134" s="39">
        <v>22</v>
      </c>
      <c r="P134" s="30">
        <f t="shared" si="6"/>
        <v>22</v>
      </c>
      <c r="Q134" s="31">
        <f t="shared" si="7"/>
        <v>0</v>
      </c>
      <c r="R134" s="44">
        <f t="shared" si="8"/>
        <v>22</v>
      </c>
      <c r="V134" s="3" t="s">
        <v>348</v>
      </c>
      <c r="W134" s="3" t="s">
        <v>348</v>
      </c>
      <c r="X134" s="3" t="s">
        <v>348</v>
      </c>
      <c r="Y134" s="3">
        <v>22</v>
      </c>
      <c r="Z134" s="3" t="s">
        <v>348</v>
      </c>
      <c r="AC134" s="3" t="s">
        <v>348</v>
      </c>
      <c r="AF134" s="3" t="s">
        <v>348</v>
      </c>
      <c r="AG134" s="3" t="s">
        <v>348</v>
      </c>
      <c r="AH134" s="3" t="s">
        <v>348</v>
      </c>
      <c r="AI134" s="3" t="s">
        <v>348</v>
      </c>
      <c r="AJ134" s="3" t="s">
        <v>348</v>
      </c>
    </row>
    <row r="135" spans="1:39" s="3" customFormat="1" ht="32.4">
      <c r="A135" s="62">
        <v>132</v>
      </c>
      <c r="B135" s="63" t="s">
        <v>132</v>
      </c>
      <c r="C135" s="64" t="s">
        <v>148</v>
      </c>
      <c r="D135" s="63" t="s">
        <v>54</v>
      </c>
      <c r="E135" s="65" t="s">
        <v>36</v>
      </c>
      <c r="F135" s="58"/>
      <c r="G135" s="43">
        <v>1</v>
      </c>
      <c r="H135" s="21">
        <v>1</v>
      </c>
      <c r="I135" s="21"/>
      <c r="J135" s="27">
        <v>1</v>
      </c>
      <c r="P135" s="30">
        <f t="shared" si="6"/>
        <v>1</v>
      </c>
      <c r="Q135" s="31">
        <f t="shared" si="7"/>
        <v>0</v>
      </c>
      <c r="R135" s="44">
        <f t="shared" si="8"/>
        <v>1</v>
      </c>
      <c r="V135" s="3" t="s">
        <v>348</v>
      </c>
      <c r="W135" s="3" t="s">
        <v>348</v>
      </c>
      <c r="X135" s="3" t="s">
        <v>348</v>
      </c>
      <c r="Y135" s="3">
        <v>1</v>
      </c>
      <c r="Z135" s="3" t="s">
        <v>348</v>
      </c>
      <c r="AC135" s="3" t="s">
        <v>348</v>
      </c>
      <c r="AF135" s="3" t="s">
        <v>348</v>
      </c>
      <c r="AG135" s="3" t="s">
        <v>348</v>
      </c>
      <c r="AH135" s="3" t="s">
        <v>348</v>
      </c>
      <c r="AI135" s="3" t="s">
        <v>348</v>
      </c>
      <c r="AJ135" s="3" t="s">
        <v>348</v>
      </c>
    </row>
    <row r="136" spans="1:39" s="3" customFormat="1" ht="32.4">
      <c r="A136" s="62">
        <v>133</v>
      </c>
      <c r="B136" s="63" t="s">
        <v>132</v>
      </c>
      <c r="C136" s="64" t="s">
        <v>149</v>
      </c>
      <c r="D136" s="63" t="s">
        <v>60</v>
      </c>
      <c r="E136" s="65" t="s">
        <v>36</v>
      </c>
      <c r="F136" s="58"/>
      <c r="G136" s="43">
        <v>10</v>
      </c>
      <c r="H136" s="21">
        <v>10</v>
      </c>
      <c r="I136" s="21"/>
      <c r="J136" s="27">
        <v>10</v>
      </c>
      <c r="P136" s="30">
        <f t="shared" si="6"/>
        <v>10</v>
      </c>
      <c r="Q136" s="31">
        <f t="shared" si="7"/>
        <v>0</v>
      </c>
      <c r="R136" s="44">
        <f t="shared" si="8"/>
        <v>10</v>
      </c>
      <c r="V136" s="3" t="s">
        <v>348</v>
      </c>
      <c r="W136" s="3">
        <v>10</v>
      </c>
      <c r="X136" s="3" t="s">
        <v>348</v>
      </c>
      <c r="Y136" s="3" t="s">
        <v>348</v>
      </c>
      <c r="Z136" s="3" t="s">
        <v>348</v>
      </c>
      <c r="AC136" s="3" t="s">
        <v>348</v>
      </c>
      <c r="AF136" s="3" t="s">
        <v>348</v>
      </c>
      <c r="AG136" s="3" t="s">
        <v>348</v>
      </c>
      <c r="AH136" s="3" t="s">
        <v>348</v>
      </c>
      <c r="AI136" s="3" t="s">
        <v>348</v>
      </c>
      <c r="AJ136" s="3" t="s">
        <v>348</v>
      </c>
    </row>
    <row r="137" spans="1:39" s="3" customFormat="1" ht="32.4">
      <c r="A137" s="62">
        <v>134</v>
      </c>
      <c r="B137" s="63" t="s">
        <v>132</v>
      </c>
      <c r="C137" s="64" t="s">
        <v>150</v>
      </c>
      <c r="D137" s="63" t="s">
        <v>60</v>
      </c>
      <c r="E137" s="65" t="s">
        <v>36</v>
      </c>
      <c r="F137" s="58"/>
      <c r="G137" s="43">
        <v>4</v>
      </c>
      <c r="H137" s="21">
        <v>4</v>
      </c>
      <c r="I137" s="21"/>
      <c r="J137" s="39">
        <v>4</v>
      </c>
      <c r="P137" s="30">
        <f t="shared" si="6"/>
        <v>4</v>
      </c>
      <c r="Q137" s="31">
        <f t="shared" si="7"/>
        <v>0</v>
      </c>
      <c r="R137" s="44">
        <f t="shared" si="8"/>
        <v>4</v>
      </c>
      <c r="V137" s="3" t="s">
        <v>348</v>
      </c>
      <c r="W137" s="3">
        <v>1</v>
      </c>
      <c r="X137" s="3" t="s">
        <v>348</v>
      </c>
      <c r="Y137" s="3" t="s">
        <v>348</v>
      </c>
      <c r="Z137" s="3">
        <v>3</v>
      </c>
      <c r="AC137" s="3" t="s">
        <v>348</v>
      </c>
      <c r="AF137" s="3" t="s">
        <v>348</v>
      </c>
      <c r="AG137" s="3" t="s">
        <v>348</v>
      </c>
      <c r="AH137" s="3" t="s">
        <v>348</v>
      </c>
      <c r="AI137" s="3" t="s">
        <v>348</v>
      </c>
      <c r="AJ137" s="3" t="s">
        <v>348</v>
      </c>
    </row>
    <row r="138" spans="1:39" s="3" customFormat="1" ht="32.4">
      <c r="A138" s="62">
        <v>135</v>
      </c>
      <c r="B138" s="63" t="s">
        <v>132</v>
      </c>
      <c r="C138" s="64" t="s">
        <v>151</v>
      </c>
      <c r="D138" s="63" t="s">
        <v>60</v>
      </c>
      <c r="E138" s="65" t="s">
        <v>36</v>
      </c>
      <c r="F138" s="58"/>
      <c r="G138" s="43">
        <v>8</v>
      </c>
      <c r="H138" s="21">
        <v>8</v>
      </c>
      <c r="I138" s="21"/>
      <c r="J138" s="27">
        <v>8</v>
      </c>
      <c r="P138" s="30">
        <f t="shared" si="6"/>
        <v>8</v>
      </c>
      <c r="Q138" s="31">
        <f t="shared" si="7"/>
        <v>0</v>
      </c>
      <c r="R138" s="44">
        <f t="shared" si="8"/>
        <v>8</v>
      </c>
      <c r="V138" s="3" t="s">
        <v>348</v>
      </c>
      <c r="W138" s="3">
        <v>8</v>
      </c>
      <c r="X138" s="3" t="s">
        <v>348</v>
      </c>
      <c r="Y138" s="3" t="s">
        <v>348</v>
      </c>
      <c r="Z138" s="3" t="s">
        <v>348</v>
      </c>
      <c r="AC138" s="3" t="s">
        <v>348</v>
      </c>
      <c r="AF138" s="3" t="s">
        <v>348</v>
      </c>
      <c r="AG138" s="3" t="s">
        <v>348</v>
      </c>
      <c r="AH138" s="3" t="s">
        <v>348</v>
      </c>
      <c r="AI138" s="3" t="s">
        <v>348</v>
      </c>
      <c r="AJ138" s="3" t="s">
        <v>348</v>
      </c>
    </row>
    <row r="139" spans="1:39" s="3" customFormat="1" ht="32.4">
      <c r="A139" s="62">
        <v>136</v>
      </c>
      <c r="B139" s="63" t="s">
        <v>132</v>
      </c>
      <c r="C139" s="64" t="s">
        <v>152</v>
      </c>
      <c r="D139" s="63" t="s">
        <v>60</v>
      </c>
      <c r="E139" s="65" t="s">
        <v>36</v>
      </c>
      <c r="F139" s="58"/>
      <c r="G139" s="43">
        <v>3</v>
      </c>
      <c r="H139" s="21">
        <v>3</v>
      </c>
      <c r="I139" s="21">
        <v>3</v>
      </c>
      <c r="J139" s="27">
        <v>0</v>
      </c>
      <c r="P139" s="30">
        <f t="shared" si="6"/>
        <v>0</v>
      </c>
      <c r="Q139" s="31">
        <f t="shared" si="7"/>
        <v>0</v>
      </c>
      <c r="R139" s="44">
        <f t="shared" si="8"/>
        <v>0</v>
      </c>
      <c r="V139" s="3" t="s">
        <v>348</v>
      </c>
      <c r="W139" s="3" t="s">
        <v>348</v>
      </c>
      <c r="X139" s="3" t="s">
        <v>348</v>
      </c>
      <c r="Y139" s="3" t="s">
        <v>348</v>
      </c>
      <c r="Z139" s="3" t="s">
        <v>348</v>
      </c>
      <c r="AC139" s="3" t="s">
        <v>348</v>
      </c>
      <c r="AF139" s="3" t="s">
        <v>348</v>
      </c>
      <c r="AG139" s="3" t="s">
        <v>348</v>
      </c>
      <c r="AH139" s="3" t="s">
        <v>348</v>
      </c>
      <c r="AI139" s="3" t="s">
        <v>348</v>
      </c>
      <c r="AJ139" s="3" t="s">
        <v>348</v>
      </c>
    </row>
    <row r="140" spans="1:39" s="3" customFormat="1" ht="32.4">
      <c r="A140" s="62">
        <v>137</v>
      </c>
      <c r="B140" s="63" t="s">
        <v>132</v>
      </c>
      <c r="C140" s="64" t="s">
        <v>153</v>
      </c>
      <c r="D140" s="63" t="s">
        <v>60</v>
      </c>
      <c r="E140" s="65" t="s">
        <v>36</v>
      </c>
      <c r="F140" s="58"/>
      <c r="G140" s="43">
        <v>8</v>
      </c>
      <c r="H140" s="21">
        <v>8</v>
      </c>
      <c r="I140" s="21"/>
      <c r="J140" s="39">
        <v>8</v>
      </c>
      <c r="P140" s="30">
        <f t="shared" si="6"/>
        <v>8</v>
      </c>
      <c r="Q140" s="31">
        <f t="shared" si="7"/>
        <v>0</v>
      </c>
      <c r="R140" s="44">
        <f t="shared" si="8"/>
        <v>8</v>
      </c>
      <c r="V140" s="3" t="s">
        <v>348</v>
      </c>
      <c r="W140" s="3">
        <v>7</v>
      </c>
      <c r="X140" s="3" t="s">
        <v>348</v>
      </c>
      <c r="Y140" s="3" t="s">
        <v>348</v>
      </c>
      <c r="Z140" s="3">
        <v>1</v>
      </c>
      <c r="AC140" s="3" t="s">
        <v>348</v>
      </c>
      <c r="AF140" s="3" t="s">
        <v>348</v>
      </c>
      <c r="AG140" s="3" t="s">
        <v>348</v>
      </c>
      <c r="AH140" s="3" t="s">
        <v>348</v>
      </c>
      <c r="AI140" s="3" t="s">
        <v>348</v>
      </c>
      <c r="AJ140" s="3" t="s">
        <v>348</v>
      </c>
    </row>
    <row r="141" spans="1:39" s="3" customFormat="1" ht="32.4">
      <c r="A141" s="62">
        <v>138</v>
      </c>
      <c r="B141" s="63" t="s">
        <v>132</v>
      </c>
      <c r="C141" s="64" t="s">
        <v>154</v>
      </c>
      <c r="D141" s="63" t="s">
        <v>60</v>
      </c>
      <c r="E141" s="65" t="s">
        <v>36</v>
      </c>
      <c r="F141" s="58"/>
      <c r="G141" s="43">
        <v>1</v>
      </c>
      <c r="H141" s="21">
        <v>1</v>
      </c>
      <c r="I141" s="21">
        <v>1</v>
      </c>
      <c r="J141" s="27">
        <v>0</v>
      </c>
      <c r="P141" s="30">
        <f t="shared" si="6"/>
        <v>0</v>
      </c>
      <c r="Q141" s="31">
        <f t="shared" si="7"/>
        <v>0</v>
      </c>
      <c r="R141" s="44">
        <f t="shared" si="8"/>
        <v>0</v>
      </c>
      <c r="V141" s="3" t="s">
        <v>348</v>
      </c>
      <c r="W141" s="3" t="s">
        <v>348</v>
      </c>
      <c r="X141" s="3" t="s">
        <v>348</v>
      </c>
      <c r="Y141" s="3" t="s">
        <v>348</v>
      </c>
      <c r="Z141" s="3" t="s">
        <v>348</v>
      </c>
      <c r="AC141" s="3" t="s">
        <v>348</v>
      </c>
      <c r="AF141" s="3" t="s">
        <v>348</v>
      </c>
      <c r="AG141" s="3" t="s">
        <v>348</v>
      </c>
      <c r="AH141" s="3" t="s">
        <v>348</v>
      </c>
      <c r="AI141" s="3" t="s">
        <v>348</v>
      </c>
      <c r="AJ141" s="3" t="s">
        <v>348</v>
      </c>
    </row>
    <row r="142" spans="1:39" s="3" customFormat="1">
      <c r="A142" s="62">
        <v>139</v>
      </c>
      <c r="B142" s="63" t="s">
        <v>173</v>
      </c>
      <c r="C142" s="64" t="s">
        <v>155</v>
      </c>
      <c r="D142" s="63" t="s">
        <v>40</v>
      </c>
      <c r="E142" s="65" t="s">
        <v>36</v>
      </c>
      <c r="F142" s="58"/>
      <c r="G142" s="43">
        <v>23</v>
      </c>
      <c r="H142" s="21">
        <v>23</v>
      </c>
      <c r="I142" s="21">
        <v>6</v>
      </c>
      <c r="J142" s="27">
        <v>17</v>
      </c>
      <c r="P142" s="30">
        <f t="shared" si="6"/>
        <v>17</v>
      </c>
      <c r="Q142" s="31">
        <f t="shared" si="7"/>
        <v>0</v>
      </c>
      <c r="R142" s="44">
        <f t="shared" si="8"/>
        <v>17</v>
      </c>
      <c r="V142" s="3" t="s">
        <v>348</v>
      </c>
      <c r="W142" s="3">
        <v>17</v>
      </c>
      <c r="X142" s="3" t="s">
        <v>348</v>
      </c>
      <c r="Y142" s="3" t="s">
        <v>348</v>
      </c>
      <c r="Z142" s="3" t="s">
        <v>348</v>
      </c>
      <c r="AC142" s="3" t="s">
        <v>348</v>
      </c>
      <c r="AF142" s="3" t="s">
        <v>348</v>
      </c>
      <c r="AG142" s="3" t="s">
        <v>348</v>
      </c>
      <c r="AH142" s="3" t="s">
        <v>348</v>
      </c>
      <c r="AI142" s="3" t="s">
        <v>348</v>
      </c>
      <c r="AJ142" s="3" t="s">
        <v>348</v>
      </c>
    </row>
    <row r="143" spans="1:39" s="3" customFormat="1">
      <c r="A143" s="62">
        <v>140</v>
      </c>
      <c r="B143" s="63" t="s">
        <v>173</v>
      </c>
      <c r="C143" s="64" t="s">
        <v>156</v>
      </c>
      <c r="D143" s="63" t="s">
        <v>40</v>
      </c>
      <c r="E143" s="65" t="s">
        <v>36</v>
      </c>
      <c r="F143" s="58"/>
      <c r="G143" s="43">
        <v>3</v>
      </c>
      <c r="H143" s="21">
        <v>3</v>
      </c>
      <c r="I143" s="21"/>
      <c r="J143" s="27">
        <v>3</v>
      </c>
      <c r="N143" s="3">
        <v>2</v>
      </c>
      <c r="P143" s="30">
        <f t="shared" si="6"/>
        <v>5</v>
      </c>
      <c r="Q143" s="31">
        <f t="shared" si="7"/>
        <v>0</v>
      </c>
      <c r="R143" s="44">
        <f t="shared" si="8"/>
        <v>5</v>
      </c>
      <c r="V143" s="3" t="s">
        <v>348</v>
      </c>
      <c r="W143" s="3">
        <v>3</v>
      </c>
      <c r="X143" s="3" t="s">
        <v>348</v>
      </c>
      <c r="Y143" s="3" t="s">
        <v>348</v>
      </c>
      <c r="Z143" s="3" t="s">
        <v>348</v>
      </c>
      <c r="AC143" s="3" t="s">
        <v>348</v>
      </c>
      <c r="AF143" s="3" t="s">
        <v>348</v>
      </c>
      <c r="AG143" s="3" t="s">
        <v>348</v>
      </c>
      <c r="AH143" s="3" t="s">
        <v>348</v>
      </c>
      <c r="AI143" s="3" t="s">
        <v>348</v>
      </c>
      <c r="AJ143" s="3" t="s">
        <v>348</v>
      </c>
      <c r="AM143" s="3">
        <v>2</v>
      </c>
    </row>
    <row r="144" spans="1:39" s="3" customFormat="1">
      <c r="A144" s="62">
        <v>141</v>
      </c>
      <c r="B144" s="63" t="s">
        <v>173</v>
      </c>
      <c r="C144" s="64" t="s">
        <v>157</v>
      </c>
      <c r="D144" s="63" t="s">
        <v>40</v>
      </c>
      <c r="E144" s="65" t="s">
        <v>36</v>
      </c>
      <c r="F144" s="58"/>
      <c r="G144" s="43">
        <v>3</v>
      </c>
      <c r="H144" s="21">
        <v>3</v>
      </c>
      <c r="I144" s="21">
        <v>3</v>
      </c>
      <c r="J144" s="27">
        <v>0</v>
      </c>
      <c r="P144" s="30">
        <f t="shared" si="6"/>
        <v>0</v>
      </c>
      <c r="Q144" s="31">
        <f t="shared" si="7"/>
        <v>0</v>
      </c>
      <c r="R144" s="44">
        <f t="shared" si="8"/>
        <v>0</v>
      </c>
      <c r="V144" s="3" t="s">
        <v>348</v>
      </c>
      <c r="W144" s="3" t="s">
        <v>348</v>
      </c>
      <c r="X144" s="3" t="s">
        <v>348</v>
      </c>
      <c r="Y144" s="3" t="s">
        <v>348</v>
      </c>
      <c r="Z144" s="3" t="s">
        <v>348</v>
      </c>
      <c r="AC144" s="3" t="s">
        <v>348</v>
      </c>
      <c r="AF144" s="3" t="s">
        <v>348</v>
      </c>
      <c r="AG144" s="3" t="s">
        <v>348</v>
      </c>
      <c r="AH144" s="3" t="s">
        <v>348</v>
      </c>
      <c r="AI144" s="3" t="s">
        <v>348</v>
      </c>
      <c r="AJ144" s="3" t="s">
        <v>348</v>
      </c>
    </row>
    <row r="145" spans="1:36" s="3" customFormat="1">
      <c r="A145" s="62">
        <v>142</v>
      </c>
      <c r="B145" s="63" t="s">
        <v>173</v>
      </c>
      <c r="C145" s="64" t="s">
        <v>158</v>
      </c>
      <c r="D145" s="63" t="s">
        <v>40</v>
      </c>
      <c r="E145" s="65" t="s">
        <v>36</v>
      </c>
      <c r="F145" s="58"/>
      <c r="G145" s="43">
        <v>5</v>
      </c>
      <c r="H145" s="21">
        <v>5</v>
      </c>
      <c r="I145" s="21">
        <v>2</v>
      </c>
      <c r="J145" s="27">
        <v>3</v>
      </c>
      <c r="P145" s="30">
        <f t="shared" si="6"/>
        <v>3</v>
      </c>
      <c r="Q145" s="31">
        <f t="shared" si="7"/>
        <v>0</v>
      </c>
      <c r="R145" s="44">
        <f t="shared" si="8"/>
        <v>3</v>
      </c>
      <c r="V145" s="3" t="s">
        <v>348</v>
      </c>
      <c r="W145" s="3">
        <v>3</v>
      </c>
      <c r="X145" s="3" t="s">
        <v>348</v>
      </c>
      <c r="Y145" s="3" t="s">
        <v>348</v>
      </c>
      <c r="Z145" s="3" t="s">
        <v>348</v>
      </c>
      <c r="AC145" s="3" t="s">
        <v>348</v>
      </c>
      <c r="AF145" s="3" t="s">
        <v>348</v>
      </c>
      <c r="AG145" s="3" t="s">
        <v>348</v>
      </c>
      <c r="AH145" s="3" t="s">
        <v>348</v>
      </c>
      <c r="AI145" s="3" t="s">
        <v>348</v>
      </c>
      <c r="AJ145" s="3" t="s">
        <v>348</v>
      </c>
    </row>
    <row r="146" spans="1:36" s="3" customFormat="1">
      <c r="A146" s="62">
        <v>143</v>
      </c>
      <c r="B146" s="63" t="s">
        <v>173</v>
      </c>
      <c r="C146" s="64" t="s">
        <v>159</v>
      </c>
      <c r="D146" s="63" t="s">
        <v>40</v>
      </c>
      <c r="E146" s="65" t="s">
        <v>36</v>
      </c>
      <c r="F146" s="58"/>
      <c r="G146" s="43">
        <v>2</v>
      </c>
      <c r="H146" s="21">
        <v>2</v>
      </c>
      <c r="I146" s="21"/>
      <c r="J146" s="27">
        <v>2</v>
      </c>
      <c r="P146" s="30">
        <f t="shared" si="6"/>
        <v>2</v>
      </c>
      <c r="Q146" s="31">
        <f t="shared" si="7"/>
        <v>0</v>
      </c>
      <c r="R146" s="44">
        <f t="shared" si="8"/>
        <v>2</v>
      </c>
      <c r="V146" s="3" t="s">
        <v>348</v>
      </c>
      <c r="W146" s="3">
        <v>2</v>
      </c>
      <c r="X146" s="3" t="s">
        <v>348</v>
      </c>
      <c r="Y146" s="3" t="s">
        <v>348</v>
      </c>
      <c r="Z146" s="3" t="s">
        <v>348</v>
      </c>
      <c r="AC146" s="3" t="s">
        <v>348</v>
      </c>
      <c r="AF146" s="3" t="s">
        <v>348</v>
      </c>
      <c r="AG146" s="3" t="s">
        <v>348</v>
      </c>
      <c r="AH146" s="3" t="s">
        <v>348</v>
      </c>
      <c r="AI146" s="3" t="s">
        <v>348</v>
      </c>
      <c r="AJ146" s="3" t="s">
        <v>348</v>
      </c>
    </row>
    <row r="147" spans="1:36" s="3" customFormat="1">
      <c r="A147" s="62">
        <v>144</v>
      </c>
      <c r="B147" s="63" t="s">
        <v>173</v>
      </c>
      <c r="C147" s="64" t="s">
        <v>160</v>
      </c>
      <c r="D147" s="63" t="s">
        <v>35</v>
      </c>
      <c r="E147" s="65" t="s">
        <v>36</v>
      </c>
      <c r="F147" s="58"/>
      <c r="G147" s="43">
        <v>14</v>
      </c>
      <c r="H147" s="21">
        <v>14</v>
      </c>
      <c r="I147" s="21">
        <v>1</v>
      </c>
      <c r="J147" s="39">
        <v>13</v>
      </c>
      <c r="P147" s="30">
        <f t="shared" si="6"/>
        <v>13</v>
      </c>
      <c r="Q147" s="31">
        <f t="shared" si="7"/>
        <v>0</v>
      </c>
      <c r="R147" s="44">
        <f t="shared" si="8"/>
        <v>13</v>
      </c>
      <c r="V147" s="3" t="s">
        <v>348</v>
      </c>
      <c r="W147" s="3" t="s">
        <v>348</v>
      </c>
      <c r="X147" s="3" t="s">
        <v>348</v>
      </c>
      <c r="Y147" s="3">
        <v>13</v>
      </c>
      <c r="Z147" s="3" t="s">
        <v>348</v>
      </c>
      <c r="AC147" s="3" t="s">
        <v>348</v>
      </c>
      <c r="AF147" s="3" t="s">
        <v>348</v>
      </c>
      <c r="AG147" s="3" t="s">
        <v>348</v>
      </c>
      <c r="AH147" s="3" t="s">
        <v>348</v>
      </c>
      <c r="AI147" s="3" t="s">
        <v>348</v>
      </c>
      <c r="AJ147" s="3" t="s">
        <v>348</v>
      </c>
    </row>
    <row r="148" spans="1:36" s="3" customFormat="1">
      <c r="A148" s="62">
        <v>145</v>
      </c>
      <c r="B148" s="63" t="s">
        <v>173</v>
      </c>
      <c r="C148" s="64" t="s">
        <v>161</v>
      </c>
      <c r="D148" s="63" t="s">
        <v>35</v>
      </c>
      <c r="E148" s="65" t="s">
        <v>36</v>
      </c>
      <c r="F148" s="58"/>
      <c r="G148" s="43">
        <v>1</v>
      </c>
      <c r="H148" s="21">
        <v>1</v>
      </c>
      <c r="I148" s="21"/>
      <c r="J148" s="27">
        <v>1</v>
      </c>
      <c r="P148" s="30">
        <f t="shared" si="6"/>
        <v>1</v>
      </c>
      <c r="Q148" s="31">
        <f t="shared" si="7"/>
        <v>0</v>
      </c>
      <c r="R148" s="44">
        <f t="shared" si="8"/>
        <v>1</v>
      </c>
      <c r="V148" s="3" t="s">
        <v>348</v>
      </c>
      <c r="W148" s="3" t="s">
        <v>348</v>
      </c>
      <c r="X148" s="3" t="s">
        <v>348</v>
      </c>
      <c r="Y148" s="3">
        <v>1</v>
      </c>
      <c r="Z148" s="3" t="s">
        <v>348</v>
      </c>
      <c r="AC148" s="3" t="s">
        <v>348</v>
      </c>
      <c r="AF148" s="3" t="s">
        <v>348</v>
      </c>
      <c r="AG148" s="3" t="s">
        <v>348</v>
      </c>
      <c r="AH148" s="3" t="s">
        <v>348</v>
      </c>
      <c r="AI148" s="3" t="s">
        <v>348</v>
      </c>
      <c r="AJ148" s="3" t="s">
        <v>348</v>
      </c>
    </row>
    <row r="149" spans="1:36" s="3" customFormat="1">
      <c r="A149" s="62">
        <v>146</v>
      </c>
      <c r="B149" s="63" t="s">
        <v>173</v>
      </c>
      <c r="C149" s="64" t="s">
        <v>162</v>
      </c>
      <c r="D149" s="63" t="s">
        <v>35</v>
      </c>
      <c r="E149" s="65" t="s">
        <v>36</v>
      </c>
      <c r="F149" s="58"/>
      <c r="G149" s="43">
        <v>1</v>
      </c>
      <c r="H149" s="21">
        <v>1</v>
      </c>
      <c r="I149" s="21"/>
      <c r="J149" s="27">
        <v>1</v>
      </c>
      <c r="P149" s="30">
        <f t="shared" si="6"/>
        <v>1</v>
      </c>
      <c r="Q149" s="31">
        <f t="shared" si="7"/>
        <v>0</v>
      </c>
      <c r="R149" s="44">
        <f t="shared" si="8"/>
        <v>1</v>
      </c>
      <c r="V149" s="3" t="s">
        <v>348</v>
      </c>
      <c r="W149" s="3" t="s">
        <v>348</v>
      </c>
      <c r="X149" s="3" t="s">
        <v>348</v>
      </c>
      <c r="Y149" s="3">
        <v>1</v>
      </c>
      <c r="Z149" s="3" t="s">
        <v>348</v>
      </c>
      <c r="AC149" s="3" t="s">
        <v>348</v>
      </c>
      <c r="AF149" s="3" t="s">
        <v>348</v>
      </c>
      <c r="AG149" s="3" t="s">
        <v>348</v>
      </c>
      <c r="AH149" s="3" t="s">
        <v>348</v>
      </c>
      <c r="AI149" s="3" t="s">
        <v>348</v>
      </c>
      <c r="AJ149" s="3" t="s">
        <v>348</v>
      </c>
    </row>
    <row r="150" spans="1:36" s="3" customFormat="1">
      <c r="A150" s="62">
        <v>147</v>
      </c>
      <c r="B150" s="63" t="s">
        <v>173</v>
      </c>
      <c r="C150" s="64" t="s">
        <v>163</v>
      </c>
      <c r="D150" s="63" t="s">
        <v>54</v>
      </c>
      <c r="E150" s="65" t="s">
        <v>36</v>
      </c>
      <c r="F150" s="58"/>
      <c r="G150" s="43">
        <v>29</v>
      </c>
      <c r="H150" s="21">
        <v>29</v>
      </c>
      <c r="I150" s="21"/>
      <c r="J150" s="39">
        <v>29</v>
      </c>
      <c r="P150" s="30">
        <f t="shared" si="6"/>
        <v>29</v>
      </c>
      <c r="Q150" s="31">
        <f t="shared" si="7"/>
        <v>0</v>
      </c>
      <c r="R150" s="44">
        <f t="shared" si="8"/>
        <v>29</v>
      </c>
      <c r="V150" s="3" t="s">
        <v>348</v>
      </c>
      <c r="W150" s="3" t="s">
        <v>348</v>
      </c>
      <c r="X150" s="3" t="s">
        <v>348</v>
      </c>
      <c r="Y150" s="3">
        <v>29</v>
      </c>
      <c r="Z150" s="3" t="s">
        <v>348</v>
      </c>
      <c r="AC150" s="3" t="s">
        <v>348</v>
      </c>
      <c r="AF150" s="3" t="s">
        <v>348</v>
      </c>
      <c r="AG150" s="3" t="s">
        <v>348</v>
      </c>
      <c r="AH150" s="3" t="s">
        <v>348</v>
      </c>
      <c r="AI150" s="3" t="s">
        <v>348</v>
      </c>
      <c r="AJ150" s="3" t="s">
        <v>348</v>
      </c>
    </row>
    <row r="151" spans="1:36" s="3" customFormat="1">
      <c r="A151" s="62">
        <v>148</v>
      </c>
      <c r="B151" s="63" t="s">
        <v>173</v>
      </c>
      <c r="C151" s="64" t="s">
        <v>164</v>
      </c>
      <c r="D151" s="63" t="s">
        <v>54</v>
      </c>
      <c r="E151" s="65" t="s">
        <v>36</v>
      </c>
      <c r="F151" s="58"/>
      <c r="G151" s="43">
        <v>5</v>
      </c>
      <c r="H151" s="21">
        <v>5</v>
      </c>
      <c r="I151" s="21"/>
      <c r="J151" s="27">
        <v>5</v>
      </c>
      <c r="P151" s="30">
        <f t="shared" si="6"/>
        <v>5</v>
      </c>
      <c r="Q151" s="31">
        <f t="shared" si="7"/>
        <v>0</v>
      </c>
      <c r="R151" s="44">
        <f t="shared" si="8"/>
        <v>5</v>
      </c>
      <c r="V151" s="3" t="s">
        <v>348</v>
      </c>
      <c r="W151" s="3" t="s">
        <v>348</v>
      </c>
      <c r="X151" s="3" t="s">
        <v>348</v>
      </c>
      <c r="Y151" s="3">
        <v>5</v>
      </c>
      <c r="Z151" s="3" t="s">
        <v>348</v>
      </c>
      <c r="AC151" s="3" t="s">
        <v>348</v>
      </c>
      <c r="AF151" s="3" t="s">
        <v>348</v>
      </c>
      <c r="AG151" s="3" t="s">
        <v>348</v>
      </c>
      <c r="AH151" s="3" t="s">
        <v>348</v>
      </c>
      <c r="AI151" s="3" t="s">
        <v>348</v>
      </c>
      <c r="AJ151" s="3" t="s">
        <v>348</v>
      </c>
    </row>
    <row r="152" spans="1:36" s="3" customFormat="1">
      <c r="A152" s="62">
        <v>149</v>
      </c>
      <c r="B152" s="63" t="s">
        <v>173</v>
      </c>
      <c r="C152" s="64" t="s">
        <v>165</v>
      </c>
      <c r="D152" s="63" t="s">
        <v>54</v>
      </c>
      <c r="E152" s="65" t="s">
        <v>36</v>
      </c>
      <c r="F152" s="58"/>
      <c r="G152" s="43">
        <v>1</v>
      </c>
      <c r="H152" s="21">
        <v>1</v>
      </c>
      <c r="I152" s="21"/>
      <c r="J152" s="27">
        <v>1</v>
      </c>
      <c r="P152" s="30">
        <f t="shared" si="6"/>
        <v>1</v>
      </c>
      <c r="Q152" s="31">
        <f t="shared" si="7"/>
        <v>0</v>
      </c>
      <c r="R152" s="44">
        <f t="shared" si="8"/>
        <v>1</v>
      </c>
      <c r="V152" s="3" t="s">
        <v>348</v>
      </c>
      <c r="W152" s="3" t="s">
        <v>348</v>
      </c>
      <c r="X152" s="3" t="s">
        <v>348</v>
      </c>
      <c r="Y152" s="3">
        <v>1</v>
      </c>
      <c r="Z152" s="3" t="s">
        <v>348</v>
      </c>
      <c r="AC152" s="3" t="s">
        <v>348</v>
      </c>
      <c r="AF152" s="3" t="s">
        <v>348</v>
      </c>
      <c r="AG152" s="3" t="s">
        <v>348</v>
      </c>
      <c r="AH152" s="3" t="s">
        <v>348</v>
      </c>
      <c r="AI152" s="3" t="s">
        <v>348</v>
      </c>
      <c r="AJ152" s="3" t="s">
        <v>348</v>
      </c>
    </row>
    <row r="153" spans="1:36" s="3" customFormat="1">
      <c r="A153" s="62">
        <v>150</v>
      </c>
      <c r="B153" s="63" t="s">
        <v>173</v>
      </c>
      <c r="C153" s="64" t="s">
        <v>166</v>
      </c>
      <c r="D153" s="63" t="s">
        <v>54</v>
      </c>
      <c r="E153" s="65" t="s">
        <v>36</v>
      </c>
      <c r="F153" s="58"/>
      <c r="G153" s="43">
        <v>18</v>
      </c>
      <c r="H153" s="21">
        <v>18</v>
      </c>
      <c r="I153" s="21">
        <v>1</v>
      </c>
      <c r="J153" s="39">
        <v>17</v>
      </c>
      <c r="P153" s="30">
        <f t="shared" si="6"/>
        <v>17</v>
      </c>
      <c r="Q153" s="31">
        <f t="shared" si="7"/>
        <v>0</v>
      </c>
      <c r="R153" s="44">
        <f t="shared" si="8"/>
        <v>17</v>
      </c>
      <c r="V153" s="3" t="s">
        <v>348</v>
      </c>
      <c r="W153" s="3" t="s">
        <v>348</v>
      </c>
      <c r="X153" s="3" t="s">
        <v>348</v>
      </c>
      <c r="Y153" s="3">
        <v>17</v>
      </c>
      <c r="Z153" s="3" t="s">
        <v>348</v>
      </c>
      <c r="AC153" s="3" t="s">
        <v>348</v>
      </c>
      <c r="AF153" s="3" t="s">
        <v>348</v>
      </c>
      <c r="AG153" s="3" t="s">
        <v>348</v>
      </c>
      <c r="AH153" s="3" t="s">
        <v>348</v>
      </c>
      <c r="AI153" s="3" t="s">
        <v>348</v>
      </c>
      <c r="AJ153" s="3" t="s">
        <v>348</v>
      </c>
    </row>
    <row r="154" spans="1:36" s="3" customFormat="1" ht="32.4">
      <c r="A154" s="62">
        <v>151</v>
      </c>
      <c r="B154" s="63" t="s">
        <v>173</v>
      </c>
      <c r="C154" s="64" t="s">
        <v>167</v>
      </c>
      <c r="D154" s="63" t="s">
        <v>60</v>
      </c>
      <c r="E154" s="65" t="s">
        <v>36</v>
      </c>
      <c r="F154" s="58"/>
      <c r="G154" s="43">
        <v>1</v>
      </c>
      <c r="H154" s="21">
        <v>1</v>
      </c>
      <c r="I154" s="21"/>
      <c r="J154" s="27">
        <v>1</v>
      </c>
      <c r="P154" s="30">
        <f t="shared" si="6"/>
        <v>1</v>
      </c>
      <c r="Q154" s="31">
        <f t="shared" si="7"/>
        <v>0</v>
      </c>
      <c r="R154" s="44">
        <f t="shared" si="8"/>
        <v>1</v>
      </c>
      <c r="V154" s="3" t="s">
        <v>348</v>
      </c>
      <c r="W154" s="3">
        <v>1</v>
      </c>
      <c r="X154" s="3" t="s">
        <v>348</v>
      </c>
      <c r="Y154" s="3" t="s">
        <v>348</v>
      </c>
      <c r="Z154" s="3" t="s">
        <v>348</v>
      </c>
      <c r="AC154" s="3" t="s">
        <v>348</v>
      </c>
      <c r="AF154" s="3" t="s">
        <v>348</v>
      </c>
      <c r="AG154" s="3" t="s">
        <v>348</v>
      </c>
      <c r="AH154" s="3" t="s">
        <v>348</v>
      </c>
      <c r="AI154" s="3" t="s">
        <v>348</v>
      </c>
      <c r="AJ154" s="3" t="s">
        <v>348</v>
      </c>
    </row>
    <row r="155" spans="1:36" s="3" customFormat="1" ht="32.4">
      <c r="A155" s="62">
        <v>152</v>
      </c>
      <c r="B155" s="63" t="s">
        <v>173</v>
      </c>
      <c r="C155" s="64" t="s">
        <v>168</v>
      </c>
      <c r="D155" s="63" t="s">
        <v>60</v>
      </c>
      <c r="E155" s="65" t="s">
        <v>36</v>
      </c>
      <c r="F155" s="58"/>
      <c r="G155" s="43">
        <v>1</v>
      </c>
      <c r="H155" s="21">
        <v>1</v>
      </c>
      <c r="I155" s="21"/>
      <c r="J155" s="27">
        <v>1</v>
      </c>
      <c r="P155" s="30">
        <f t="shared" si="6"/>
        <v>1</v>
      </c>
      <c r="Q155" s="31">
        <f t="shared" si="7"/>
        <v>0</v>
      </c>
      <c r="R155" s="44">
        <f t="shared" si="8"/>
        <v>1</v>
      </c>
      <c r="V155" s="3" t="s">
        <v>348</v>
      </c>
      <c r="W155" s="3">
        <v>1</v>
      </c>
      <c r="X155" s="3" t="s">
        <v>348</v>
      </c>
      <c r="Y155" s="3" t="s">
        <v>348</v>
      </c>
      <c r="Z155" s="3" t="s">
        <v>348</v>
      </c>
      <c r="AC155" s="3" t="s">
        <v>348</v>
      </c>
      <c r="AF155" s="3" t="s">
        <v>348</v>
      </c>
      <c r="AG155" s="3" t="s">
        <v>348</v>
      </c>
      <c r="AH155" s="3" t="s">
        <v>348</v>
      </c>
      <c r="AI155" s="3" t="s">
        <v>348</v>
      </c>
      <c r="AJ155" s="3" t="s">
        <v>348</v>
      </c>
    </row>
    <row r="156" spans="1:36" s="3" customFormat="1" ht="32.4">
      <c r="A156" s="62">
        <v>153</v>
      </c>
      <c r="B156" s="63" t="s">
        <v>173</v>
      </c>
      <c r="C156" s="64" t="s">
        <v>169</v>
      </c>
      <c r="D156" s="63" t="s">
        <v>60</v>
      </c>
      <c r="E156" s="65" t="s">
        <v>36</v>
      </c>
      <c r="F156" s="58"/>
      <c r="G156" s="43">
        <v>1</v>
      </c>
      <c r="H156" s="21">
        <v>1</v>
      </c>
      <c r="I156" s="21">
        <v>1</v>
      </c>
      <c r="J156" s="27">
        <v>0</v>
      </c>
      <c r="P156" s="30">
        <f t="shared" si="6"/>
        <v>0</v>
      </c>
      <c r="Q156" s="31">
        <f t="shared" si="7"/>
        <v>0</v>
      </c>
      <c r="R156" s="44">
        <f t="shared" si="8"/>
        <v>0</v>
      </c>
      <c r="V156" s="3" t="s">
        <v>348</v>
      </c>
      <c r="W156" s="3" t="s">
        <v>348</v>
      </c>
      <c r="X156" s="3" t="s">
        <v>348</v>
      </c>
      <c r="Y156" s="3" t="s">
        <v>348</v>
      </c>
      <c r="Z156" s="3" t="s">
        <v>348</v>
      </c>
      <c r="AC156" s="3" t="s">
        <v>348</v>
      </c>
      <c r="AF156" s="3" t="s">
        <v>348</v>
      </c>
      <c r="AG156" s="3" t="s">
        <v>348</v>
      </c>
      <c r="AH156" s="3" t="s">
        <v>348</v>
      </c>
      <c r="AI156" s="3" t="s">
        <v>348</v>
      </c>
      <c r="AJ156" s="3" t="s">
        <v>348</v>
      </c>
    </row>
    <row r="157" spans="1:36" s="3" customFormat="1" ht="32.4">
      <c r="A157" s="62">
        <v>154</v>
      </c>
      <c r="B157" s="63" t="s">
        <v>173</v>
      </c>
      <c r="C157" s="64" t="s">
        <v>170</v>
      </c>
      <c r="D157" s="63" t="s">
        <v>60</v>
      </c>
      <c r="E157" s="65" t="s">
        <v>36</v>
      </c>
      <c r="F157" s="58"/>
      <c r="G157" s="43">
        <v>4</v>
      </c>
      <c r="H157" s="21">
        <v>4</v>
      </c>
      <c r="I157" s="21"/>
      <c r="J157" s="27">
        <v>4</v>
      </c>
      <c r="P157" s="30">
        <f t="shared" si="6"/>
        <v>4</v>
      </c>
      <c r="Q157" s="31">
        <f t="shared" si="7"/>
        <v>0</v>
      </c>
      <c r="R157" s="44">
        <f t="shared" si="8"/>
        <v>4</v>
      </c>
      <c r="V157" s="3" t="s">
        <v>348</v>
      </c>
      <c r="W157" s="3">
        <v>4</v>
      </c>
      <c r="X157" s="3" t="s">
        <v>348</v>
      </c>
      <c r="Y157" s="3" t="s">
        <v>348</v>
      </c>
      <c r="Z157" s="3" t="s">
        <v>348</v>
      </c>
      <c r="AC157" s="3" t="s">
        <v>348</v>
      </c>
      <c r="AF157" s="3" t="s">
        <v>348</v>
      </c>
      <c r="AG157" s="3" t="s">
        <v>348</v>
      </c>
      <c r="AH157" s="3" t="s">
        <v>348</v>
      </c>
      <c r="AI157" s="3" t="s">
        <v>348</v>
      </c>
      <c r="AJ157" s="3" t="s">
        <v>348</v>
      </c>
    </row>
    <row r="158" spans="1:36" s="3" customFormat="1" ht="32.4">
      <c r="A158" s="62">
        <v>155</v>
      </c>
      <c r="B158" s="63" t="s">
        <v>173</v>
      </c>
      <c r="C158" s="64" t="s">
        <v>171</v>
      </c>
      <c r="D158" s="63" t="s">
        <v>60</v>
      </c>
      <c r="E158" s="65" t="s">
        <v>36</v>
      </c>
      <c r="F158" s="58"/>
      <c r="G158" s="43">
        <v>4</v>
      </c>
      <c r="H158" s="21">
        <v>4</v>
      </c>
      <c r="I158" s="21"/>
      <c r="J158" s="27">
        <v>4</v>
      </c>
      <c r="P158" s="30">
        <f t="shared" si="6"/>
        <v>4</v>
      </c>
      <c r="Q158" s="31">
        <f t="shared" si="7"/>
        <v>0</v>
      </c>
      <c r="R158" s="44">
        <f t="shared" si="8"/>
        <v>4</v>
      </c>
      <c r="V158" s="3" t="s">
        <v>348</v>
      </c>
      <c r="W158" s="3">
        <v>4</v>
      </c>
      <c r="X158" s="3" t="s">
        <v>348</v>
      </c>
      <c r="Y158" s="3" t="s">
        <v>348</v>
      </c>
      <c r="Z158" s="3" t="s">
        <v>348</v>
      </c>
      <c r="AC158" s="3" t="s">
        <v>348</v>
      </c>
      <c r="AF158" s="3" t="s">
        <v>348</v>
      </c>
      <c r="AG158" s="3" t="s">
        <v>348</v>
      </c>
      <c r="AH158" s="3" t="s">
        <v>348</v>
      </c>
      <c r="AI158" s="3" t="s">
        <v>348</v>
      </c>
      <c r="AJ158" s="3" t="s">
        <v>348</v>
      </c>
    </row>
    <row r="159" spans="1:36" s="3" customFormat="1" ht="32.4">
      <c r="A159" s="62">
        <v>156</v>
      </c>
      <c r="B159" s="63" t="s">
        <v>173</v>
      </c>
      <c r="C159" s="64" t="s">
        <v>172</v>
      </c>
      <c r="D159" s="63" t="s">
        <v>60</v>
      </c>
      <c r="E159" s="65" t="s">
        <v>36</v>
      </c>
      <c r="F159" s="58"/>
      <c r="G159" s="43">
        <v>1</v>
      </c>
      <c r="H159" s="21">
        <v>1</v>
      </c>
      <c r="I159" s="21"/>
      <c r="J159" s="27">
        <v>1</v>
      </c>
      <c r="P159" s="30">
        <f t="shared" si="6"/>
        <v>1</v>
      </c>
      <c r="Q159" s="31">
        <f t="shared" si="7"/>
        <v>0</v>
      </c>
      <c r="R159" s="44">
        <f t="shared" si="8"/>
        <v>1</v>
      </c>
      <c r="V159" s="3" t="s">
        <v>348</v>
      </c>
      <c r="W159" s="3">
        <v>1</v>
      </c>
      <c r="X159" s="3" t="s">
        <v>348</v>
      </c>
      <c r="Y159" s="3" t="s">
        <v>348</v>
      </c>
      <c r="Z159" s="3" t="s">
        <v>348</v>
      </c>
      <c r="AC159" s="3" t="s">
        <v>348</v>
      </c>
      <c r="AF159" s="3" t="s">
        <v>348</v>
      </c>
      <c r="AG159" s="3" t="s">
        <v>348</v>
      </c>
      <c r="AH159" s="3" t="s">
        <v>348</v>
      </c>
      <c r="AI159" s="3" t="s">
        <v>348</v>
      </c>
      <c r="AJ159" s="3" t="s">
        <v>348</v>
      </c>
    </row>
    <row r="160" spans="1:36" s="3" customFormat="1">
      <c r="A160" s="62">
        <v>157</v>
      </c>
      <c r="B160" s="63" t="s">
        <v>181</v>
      </c>
      <c r="C160" s="64" t="s">
        <v>174</v>
      </c>
      <c r="D160" s="63" t="s">
        <v>40</v>
      </c>
      <c r="E160" s="65" t="s">
        <v>36</v>
      </c>
      <c r="F160" s="58"/>
      <c r="G160" s="43">
        <v>2</v>
      </c>
      <c r="H160" s="21">
        <v>2</v>
      </c>
      <c r="I160" s="21">
        <v>2</v>
      </c>
      <c r="J160" s="27">
        <v>0</v>
      </c>
      <c r="P160" s="30">
        <f t="shared" si="6"/>
        <v>0</v>
      </c>
      <c r="Q160" s="31">
        <f t="shared" si="7"/>
        <v>0</v>
      </c>
      <c r="R160" s="44">
        <f t="shared" si="8"/>
        <v>0</v>
      </c>
      <c r="V160" s="3" t="s">
        <v>348</v>
      </c>
      <c r="W160" s="3" t="s">
        <v>348</v>
      </c>
      <c r="X160" s="3" t="s">
        <v>348</v>
      </c>
      <c r="Y160" s="3" t="s">
        <v>348</v>
      </c>
      <c r="Z160" s="3" t="s">
        <v>348</v>
      </c>
      <c r="AC160" s="3" t="s">
        <v>348</v>
      </c>
      <c r="AF160" s="3" t="s">
        <v>348</v>
      </c>
      <c r="AG160" s="3" t="s">
        <v>348</v>
      </c>
      <c r="AH160" s="3" t="s">
        <v>348</v>
      </c>
      <c r="AI160" s="3" t="s">
        <v>348</v>
      </c>
      <c r="AJ160" s="3" t="s">
        <v>348</v>
      </c>
    </row>
    <row r="161" spans="1:36" s="3" customFormat="1">
      <c r="A161" s="62">
        <v>158</v>
      </c>
      <c r="B161" s="63" t="s">
        <v>181</v>
      </c>
      <c r="C161" s="64" t="s">
        <v>175</v>
      </c>
      <c r="D161" s="63" t="s">
        <v>40</v>
      </c>
      <c r="E161" s="65" t="s">
        <v>36</v>
      </c>
      <c r="F161" s="58"/>
      <c r="G161" s="43">
        <v>1</v>
      </c>
      <c r="H161" s="21">
        <v>1</v>
      </c>
      <c r="I161" s="21">
        <v>1</v>
      </c>
      <c r="J161" s="27">
        <v>0</v>
      </c>
      <c r="P161" s="30">
        <f t="shared" si="6"/>
        <v>0</v>
      </c>
      <c r="Q161" s="31">
        <f t="shared" si="7"/>
        <v>0</v>
      </c>
      <c r="R161" s="44">
        <f t="shared" si="8"/>
        <v>0</v>
      </c>
      <c r="V161" s="3" t="s">
        <v>348</v>
      </c>
      <c r="W161" s="3" t="s">
        <v>348</v>
      </c>
      <c r="X161" s="3" t="s">
        <v>348</v>
      </c>
      <c r="Y161" s="3" t="s">
        <v>348</v>
      </c>
      <c r="Z161" s="3" t="s">
        <v>348</v>
      </c>
      <c r="AC161" s="3" t="s">
        <v>348</v>
      </c>
      <c r="AF161" s="3" t="s">
        <v>348</v>
      </c>
      <c r="AG161" s="3" t="s">
        <v>348</v>
      </c>
      <c r="AH161" s="3" t="s">
        <v>348</v>
      </c>
      <c r="AI161" s="3" t="s">
        <v>348</v>
      </c>
      <c r="AJ161" s="3" t="s">
        <v>348</v>
      </c>
    </row>
    <row r="162" spans="1:36" s="3" customFormat="1">
      <c r="A162" s="62">
        <v>159</v>
      </c>
      <c r="B162" s="63" t="s">
        <v>181</v>
      </c>
      <c r="C162" s="64" t="s">
        <v>176</v>
      </c>
      <c r="D162" s="63" t="s">
        <v>40</v>
      </c>
      <c r="E162" s="65" t="s">
        <v>36</v>
      </c>
      <c r="F162" s="58"/>
      <c r="G162" s="43">
        <v>2</v>
      </c>
      <c r="H162" s="21">
        <v>2</v>
      </c>
      <c r="I162" s="21"/>
      <c r="J162" s="27">
        <v>2</v>
      </c>
      <c r="P162" s="30">
        <f t="shared" si="6"/>
        <v>2</v>
      </c>
      <c r="Q162" s="31">
        <f t="shared" si="7"/>
        <v>0</v>
      </c>
      <c r="R162" s="44">
        <f t="shared" si="8"/>
        <v>2</v>
      </c>
      <c r="V162" s="3" t="s">
        <v>348</v>
      </c>
      <c r="W162" s="3">
        <v>2</v>
      </c>
      <c r="X162" s="3" t="s">
        <v>348</v>
      </c>
      <c r="Y162" s="3" t="s">
        <v>348</v>
      </c>
      <c r="Z162" s="3" t="s">
        <v>348</v>
      </c>
      <c r="AC162" s="3" t="s">
        <v>348</v>
      </c>
      <c r="AF162" s="3" t="s">
        <v>348</v>
      </c>
      <c r="AG162" s="3" t="s">
        <v>348</v>
      </c>
      <c r="AH162" s="3" t="s">
        <v>348</v>
      </c>
      <c r="AI162" s="3" t="s">
        <v>348</v>
      </c>
      <c r="AJ162" s="3" t="s">
        <v>348</v>
      </c>
    </row>
    <row r="163" spans="1:36" s="3" customFormat="1">
      <c r="A163" s="62">
        <v>160</v>
      </c>
      <c r="B163" s="63" t="s">
        <v>181</v>
      </c>
      <c r="C163" s="64" t="s">
        <v>177</v>
      </c>
      <c r="D163" s="63" t="s">
        <v>40</v>
      </c>
      <c r="E163" s="65" t="s">
        <v>36</v>
      </c>
      <c r="F163" s="58"/>
      <c r="G163" s="43">
        <v>1</v>
      </c>
      <c r="H163" s="21">
        <v>1</v>
      </c>
      <c r="I163" s="21">
        <v>1</v>
      </c>
      <c r="J163" s="27">
        <v>0</v>
      </c>
      <c r="P163" s="30">
        <f t="shared" si="6"/>
        <v>0</v>
      </c>
      <c r="Q163" s="31">
        <f t="shared" si="7"/>
        <v>0</v>
      </c>
      <c r="R163" s="44">
        <f t="shared" si="8"/>
        <v>0</v>
      </c>
      <c r="V163" s="3" t="s">
        <v>348</v>
      </c>
      <c r="W163" s="3" t="s">
        <v>348</v>
      </c>
      <c r="X163" s="3" t="s">
        <v>348</v>
      </c>
      <c r="Y163" s="3" t="s">
        <v>348</v>
      </c>
      <c r="Z163" s="3" t="s">
        <v>348</v>
      </c>
      <c r="AC163" s="3" t="s">
        <v>348</v>
      </c>
      <c r="AF163" s="3" t="s">
        <v>348</v>
      </c>
      <c r="AG163" s="3" t="s">
        <v>348</v>
      </c>
      <c r="AH163" s="3" t="s">
        <v>348</v>
      </c>
      <c r="AI163" s="3" t="s">
        <v>348</v>
      </c>
      <c r="AJ163" s="3" t="s">
        <v>348</v>
      </c>
    </row>
    <row r="164" spans="1:36" s="3" customFormat="1" ht="32.4">
      <c r="A164" s="62">
        <v>161</v>
      </c>
      <c r="B164" s="63" t="s">
        <v>181</v>
      </c>
      <c r="C164" s="64" t="s">
        <v>178</v>
      </c>
      <c r="D164" s="63" t="s">
        <v>60</v>
      </c>
      <c r="E164" s="65" t="s">
        <v>36</v>
      </c>
      <c r="F164" s="58"/>
      <c r="G164" s="43">
        <v>2</v>
      </c>
      <c r="H164" s="21">
        <v>2</v>
      </c>
      <c r="I164" s="21"/>
      <c r="J164" s="27">
        <v>2</v>
      </c>
      <c r="P164" s="30">
        <f t="shared" si="6"/>
        <v>2</v>
      </c>
      <c r="Q164" s="31">
        <f t="shared" si="7"/>
        <v>0</v>
      </c>
      <c r="R164" s="44">
        <f t="shared" si="8"/>
        <v>2</v>
      </c>
      <c r="V164" s="3" t="s">
        <v>348</v>
      </c>
      <c r="W164" s="3">
        <v>2</v>
      </c>
      <c r="X164" s="3" t="s">
        <v>348</v>
      </c>
      <c r="Y164" s="3" t="s">
        <v>348</v>
      </c>
      <c r="Z164" s="3" t="s">
        <v>348</v>
      </c>
      <c r="AC164" s="3" t="s">
        <v>348</v>
      </c>
      <c r="AF164" s="3" t="s">
        <v>348</v>
      </c>
      <c r="AG164" s="3" t="s">
        <v>348</v>
      </c>
      <c r="AH164" s="3" t="s">
        <v>348</v>
      </c>
      <c r="AI164" s="3" t="s">
        <v>348</v>
      </c>
      <c r="AJ164" s="3" t="s">
        <v>348</v>
      </c>
    </row>
    <row r="165" spans="1:36" s="3" customFormat="1" ht="32.4">
      <c r="A165" s="62">
        <v>162</v>
      </c>
      <c r="B165" s="63" t="s">
        <v>181</v>
      </c>
      <c r="C165" s="64" t="s">
        <v>179</v>
      </c>
      <c r="D165" s="63" t="s">
        <v>60</v>
      </c>
      <c r="E165" s="65" t="s">
        <v>36</v>
      </c>
      <c r="F165" s="58"/>
      <c r="G165" s="43">
        <v>4</v>
      </c>
      <c r="H165" s="21">
        <v>4</v>
      </c>
      <c r="I165" s="21"/>
      <c r="J165" s="27">
        <v>4</v>
      </c>
      <c r="P165" s="30">
        <f t="shared" si="6"/>
        <v>4</v>
      </c>
      <c r="Q165" s="31">
        <f t="shared" si="7"/>
        <v>0</v>
      </c>
      <c r="R165" s="44">
        <f t="shared" si="8"/>
        <v>4</v>
      </c>
      <c r="V165" s="3" t="s">
        <v>348</v>
      </c>
      <c r="W165" s="3">
        <v>4</v>
      </c>
      <c r="X165" s="3" t="s">
        <v>348</v>
      </c>
      <c r="Y165" s="3" t="s">
        <v>348</v>
      </c>
      <c r="Z165" s="3" t="s">
        <v>348</v>
      </c>
      <c r="AC165" s="3" t="s">
        <v>348</v>
      </c>
      <c r="AF165" s="3" t="s">
        <v>348</v>
      </c>
      <c r="AG165" s="3" t="s">
        <v>348</v>
      </c>
      <c r="AH165" s="3" t="s">
        <v>348</v>
      </c>
      <c r="AI165" s="3" t="s">
        <v>348</v>
      </c>
      <c r="AJ165" s="3" t="s">
        <v>348</v>
      </c>
    </row>
    <row r="166" spans="1:36" s="3" customFormat="1" ht="32.4">
      <c r="A166" s="62">
        <v>163</v>
      </c>
      <c r="B166" s="63" t="s">
        <v>181</v>
      </c>
      <c r="C166" s="64" t="s">
        <v>180</v>
      </c>
      <c r="D166" s="63" t="s">
        <v>60</v>
      </c>
      <c r="E166" s="65" t="s">
        <v>36</v>
      </c>
      <c r="F166" s="58"/>
      <c r="G166" s="43">
        <v>8</v>
      </c>
      <c r="H166" s="21">
        <v>8</v>
      </c>
      <c r="I166" s="21"/>
      <c r="J166" s="27">
        <v>8</v>
      </c>
      <c r="P166" s="30">
        <f t="shared" si="6"/>
        <v>8</v>
      </c>
      <c r="Q166" s="31">
        <f t="shared" si="7"/>
        <v>0</v>
      </c>
      <c r="R166" s="44">
        <f t="shared" si="8"/>
        <v>8</v>
      </c>
      <c r="V166" s="3" t="s">
        <v>348</v>
      </c>
      <c r="W166" s="3">
        <v>8</v>
      </c>
      <c r="X166" s="3" t="s">
        <v>348</v>
      </c>
      <c r="Y166" s="3" t="s">
        <v>348</v>
      </c>
      <c r="Z166" s="3" t="s">
        <v>348</v>
      </c>
      <c r="AC166" s="3" t="s">
        <v>348</v>
      </c>
      <c r="AF166" s="3" t="s">
        <v>348</v>
      </c>
      <c r="AG166" s="3" t="s">
        <v>348</v>
      </c>
      <c r="AH166" s="3" t="s">
        <v>348</v>
      </c>
      <c r="AI166" s="3" t="s">
        <v>348</v>
      </c>
      <c r="AJ166" s="3" t="s">
        <v>348</v>
      </c>
    </row>
    <row r="167" spans="1:36" s="3" customFormat="1">
      <c r="A167" s="57">
        <v>164</v>
      </c>
      <c r="B167" s="6" t="s">
        <v>194</v>
      </c>
      <c r="C167" s="13" t="s">
        <v>182</v>
      </c>
      <c r="D167" s="6" t="s">
        <v>183</v>
      </c>
      <c r="E167" s="12" t="s">
        <v>36</v>
      </c>
      <c r="F167" s="7"/>
      <c r="G167" s="21">
        <v>350</v>
      </c>
      <c r="H167" s="21">
        <v>350</v>
      </c>
      <c r="I167" s="21"/>
      <c r="J167" s="39">
        <v>350</v>
      </c>
      <c r="P167" s="30">
        <f t="shared" si="6"/>
        <v>350</v>
      </c>
      <c r="Q167" s="31">
        <f t="shared" si="7"/>
        <v>0</v>
      </c>
      <c r="R167" s="32">
        <f t="shared" si="8"/>
        <v>350</v>
      </c>
      <c r="V167" s="3" t="s">
        <v>348</v>
      </c>
      <c r="W167" s="3" t="s">
        <v>348</v>
      </c>
      <c r="X167" s="3" t="s">
        <v>348</v>
      </c>
      <c r="Y167" s="3" t="s">
        <v>348</v>
      </c>
      <c r="Z167" s="3" t="s">
        <v>348</v>
      </c>
      <c r="AA167" s="3">
        <v>350</v>
      </c>
      <c r="AC167" s="3" t="s">
        <v>348</v>
      </c>
      <c r="AF167" s="3" t="s">
        <v>348</v>
      </c>
      <c r="AG167" s="3" t="s">
        <v>348</v>
      </c>
      <c r="AH167" s="3" t="s">
        <v>348</v>
      </c>
      <c r="AI167" s="3" t="s">
        <v>348</v>
      </c>
      <c r="AJ167" s="3" t="s">
        <v>348</v>
      </c>
    </row>
    <row r="168" spans="1:36" s="3" customFormat="1">
      <c r="A168" s="9">
        <v>165</v>
      </c>
      <c r="B168" s="6" t="s">
        <v>194</v>
      </c>
      <c r="C168" s="13" t="s">
        <v>184</v>
      </c>
      <c r="D168" s="6" t="s">
        <v>183</v>
      </c>
      <c r="E168" s="12" t="s">
        <v>36</v>
      </c>
      <c r="F168" s="7"/>
      <c r="G168" s="21">
        <v>25</v>
      </c>
      <c r="H168" s="21">
        <v>25</v>
      </c>
      <c r="I168" s="21"/>
      <c r="J168" s="39">
        <v>25</v>
      </c>
      <c r="P168" s="30">
        <f t="shared" si="6"/>
        <v>25</v>
      </c>
      <c r="Q168" s="31">
        <f t="shared" si="7"/>
        <v>0</v>
      </c>
      <c r="R168" s="32">
        <f t="shared" si="8"/>
        <v>25</v>
      </c>
      <c r="V168" s="3" t="s">
        <v>348</v>
      </c>
      <c r="W168" s="3" t="s">
        <v>348</v>
      </c>
      <c r="X168" s="3" t="s">
        <v>348</v>
      </c>
      <c r="Y168" s="3" t="s">
        <v>348</v>
      </c>
      <c r="Z168" s="3" t="s">
        <v>348</v>
      </c>
      <c r="AA168" s="3">
        <v>25</v>
      </c>
      <c r="AC168" s="3" t="s">
        <v>348</v>
      </c>
      <c r="AF168" s="3" t="s">
        <v>348</v>
      </c>
      <c r="AG168" s="3" t="s">
        <v>348</v>
      </c>
      <c r="AH168" s="3" t="s">
        <v>348</v>
      </c>
      <c r="AI168" s="3" t="s">
        <v>348</v>
      </c>
      <c r="AJ168" s="3" t="s">
        <v>348</v>
      </c>
    </row>
    <row r="169" spans="1:36" s="3" customFormat="1">
      <c r="A169" s="9">
        <v>166</v>
      </c>
      <c r="B169" s="6" t="s">
        <v>194</v>
      </c>
      <c r="C169" s="13" t="s">
        <v>185</v>
      </c>
      <c r="D169" s="6" t="s">
        <v>183</v>
      </c>
      <c r="E169" s="12" t="s">
        <v>36</v>
      </c>
      <c r="F169" s="7"/>
      <c r="G169" s="21">
        <v>620</v>
      </c>
      <c r="H169" s="21">
        <v>620</v>
      </c>
      <c r="I169" s="21"/>
      <c r="J169" s="39">
        <v>620</v>
      </c>
      <c r="P169" s="30">
        <f t="shared" si="6"/>
        <v>620</v>
      </c>
      <c r="Q169" s="31">
        <f t="shared" si="7"/>
        <v>0</v>
      </c>
      <c r="R169" s="32">
        <f t="shared" si="8"/>
        <v>620</v>
      </c>
      <c r="V169" s="3" t="s">
        <v>348</v>
      </c>
      <c r="W169" s="3" t="s">
        <v>348</v>
      </c>
      <c r="X169" s="3" t="s">
        <v>348</v>
      </c>
      <c r="Y169" s="3" t="s">
        <v>348</v>
      </c>
      <c r="Z169" s="3" t="s">
        <v>348</v>
      </c>
      <c r="AA169" s="3">
        <v>620</v>
      </c>
      <c r="AC169" s="3" t="s">
        <v>348</v>
      </c>
      <c r="AF169" s="3" t="s">
        <v>348</v>
      </c>
      <c r="AG169" s="3" t="s">
        <v>348</v>
      </c>
      <c r="AH169" s="3" t="s">
        <v>348</v>
      </c>
      <c r="AI169" s="3" t="s">
        <v>348</v>
      </c>
      <c r="AJ169" s="3" t="s">
        <v>348</v>
      </c>
    </row>
    <row r="170" spans="1:36" s="3" customFormat="1">
      <c r="A170" s="9">
        <v>167</v>
      </c>
      <c r="B170" s="6" t="s">
        <v>194</v>
      </c>
      <c r="C170" s="13" t="s">
        <v>186</v>
      </c>
      <c r="D170" s="6" t="s">
        <v>183</v>
      </c>
      <c r="E170" s="12" t="s">
        <v>36</v>
      </c>
      <c r="F170" s="7"/>
      <c r="G170" s="21">
        <v>2</v>
      </c>
      <c r="H170" s="21">
        <v>2</v>
      </c>
      <c r="I170" s="21"/>
      <c r="J170" s="27">
        <v>2</v>
      </c>
      <c r="P170" s="30">
        <f t="shared" si="6"/>
        <v>2</v>
      </c>
      <c r="Q170" s="31">
        <f t="shared" si="7"/>
        <v>0</v>
      </c>
      <c r="R170" s="32">
        <f t="shared" si="8"/>
        <v>2</v>
      </c>
      <c r="V170" s="3" t="s">
        <v>348</v>
      </c>
      <c r="W170" s="3" t="s">
        <v>348</v>
      </c>
      <c r="X170" s="3" t="s">
        <v>348</v>
      </c>
      <c r="Y170" s="3" t="s">
        <v>348</v>
      </c>
      <c r="Z170" s="3" t="s">
        <v>348</v>
      </c>
      <c r="AA170" s="3">
        <v>2</v>
      </c>
      <c r="AC170" s="3" t="s">
        <v>348</v>
      </c>
      <c r="AF170" s="3" t="s">
        <v>348</v>
      </c>
      <c r="AG170" s="3" t="s">
        <v>348</v>
      </c>
      <c r="AH170" s="3" t="s">
        <v>348</v>
      </c>
      <c r="AI170" s="3" t="s">
        <v>348</v>
      </c>
      <c r="AJ170" s="3" t="s">
        <v>348</v>
      </c>
    </row>
    <row r="171" spans="1:36" s="3" customFormat="1">
      <c r="A171" s="9">
        <v>168</v>
      </c>
      <c r="B171" s="6" t="s">
        <v>194</v>
      </c>
      <c r="C171" s="13" t="s">
        <v>187</v>
      </c>
      <c r="D171" s="6" t="s">
        <v>183</v>
      </c>
      <c r="E171" s="12" t="s">
        <v>36</v>
      </c>
      <c r="F171" s="7"/>
      <c r="G171" s="21">
        <v>120</v>
      </c>
      <c r="H171" s="21">
        <v>120</v>
      </c>
      <c r="I171" s="21"/>
      <c r="J171" s="39">
        <v>120</v>
      </c>
      <c r="P171" s="30">
        <f t="shared" si="6"/>
        <v>120</v>
      </c>
      <c r="Q171" s="31">
        <f t="shared" si="7"/>
        <v>0</v>
      </c>
      <c r="R171" s="32">
        <f t="shared" si="8"/>
        <v>120</v>
      </c>
      <c r="V171" s="3" t="s">
        <v>348</v>
      </c>
      <c r="W171" s="3" t="s">
        <v>348</v>
      </c>
      <c r="X171" s="3" t="s">
        <v>348</v>
      </c>
      <c r="Y171" s="3" t="s">
        <v>348</v>
      </c>
      <c r="Z171" s="3" t="s">
        <v>348</v>
      </c>
      <c r="AA171" s="3">
        <v>120</v>
      </c>
      <c r="AC171" s="3" t="s">
        <v>348</v>
      </c>
      <c r="AF171" s="3" t="s">
        <v>348</v>
      </c>
      <c r="AG171" s="3" t="s">
        <v>348</v>
      </c>
      <c r="AH171" s="3" t="s">
        <v>348</v>
      </c>
      <c r="AI171" s="3" t="s">
        <v>348</v>
      </c>
      <c r="AJ171" s="3" t="s">
        <v>348</v>
      </c>
    </row>
    <row r="172" spans="1:36" s="3" customFormat="1">
      <c r="A172" s="9">
        <v>169</v>
      </c>
      <c r="B172" s="6" t="s">
        <v>194</v>
      </c>
      <c r="C172" s="13" t="s">
        <v>188</v>
      </c>
      <c r="D172" s="6" t="s">
        <v>183</v>
      </c>
      <c r="E172" s="12" t="s">
        <v>36</v>
      </c>
      <c r="F172" s="7"/>
      <c r="G172" s="21">
        <v>220</v>
      </c>
      <c r="H172" s="21">
        <v>220</v>
      </c>
      <c r="I172" s="21"/>
      <c r="J172" s="39">
        <v>220</v>
      </c>
      <c r="P172" s="30">
        <f t="shared" si="6"/>
        <v>220</v>
      </c>
      <c r="Q172" s="31">
        <f t="shared" si="7"/>
        <v>0</v>
      </c>
      <c r="R172" s="32">
        <f t="shared" si="8"/>
        <v>220</v>
      </c>
      <c r="V172" s="3" t="s">
        <v>348</v>
      </c>
      <c r="W172" s="3" t="s">
        <v>348</v>
      </c>
      <c r="X172" s="3" t="s">
        <v>348</v>
      </c>
      <c r="Y172" s="3" t="s">
        <v>348</v>
      </c>
      <c r="Z172" s="3" t="s">
        <v>348</v>
      </c>
      <c r="AA172" s="3">
        <v>220</v>
      </c>
      <c r="AC172" s="3" t="s">
        <v>348</v>
      </c>
      <c r="AF172" s="3" t="s">
        <v>348</v>
      </c>
      <c r="AG172" s="3" t="s">
        <v>348</v>
      </c>
      <c r="AH172" s="3" t="s">
        <v>348</v>
      </c>
      <c r="AI172" s="3" t="s">
        <v>348</v>
      </c>
      <c r="AJ172" s="3" t="s">
        <v>348</v>
      </c>
    </row>
    <row r="173" spans="1:36" s="3" customFormat="1">
      <c r="A173" s="9">
        <v>170</v>
      </c>
      <c r="B173" s="6" t="s">
        <v>194</v>
      </c>
      <c r="C173" s="13" t="s">
        <v>189</v>
      </c>
      <c r="D173" s="6" t="s">
        <v>183</v>
      </c>
      <c r="E173" s="12" t="s">
        <v>36</v>
      </c>
      <c r="F173" s="7"/>
      <c r="G173" s="21">
        <v>30</v>
      </c>
      <c r="H173" s="21">
        <v>30</v>
      </c>
      <c r="I173" s="21"/>
      <c r="J173" s="39">
        <v>30</v>
      </c>
      <c r="P173" s="30">
        <f t="shared" si="6"/>
        <v>30</v>
      </c>
      <c r="Q173" s="31">
        <f t="shared" si="7"/>
        <v>0</v>
      </c>
      <c r="R173" s="32">
        <f t="shared" si="8"/>
        <v>30</v>
      </c>
      <c r="V173" s="3" t="s">
        <v>348</v>
      </c>
      <c r="W173" s="3" t="s">
        <v>348</v>
      </c>
      <c r="X173" s="3" t="s">
        <v>348</v>
      </c>
      <c r="Y173" s="3" t="s">
        <v>348</v>
      </c>
      <c r="Z173" s="3" t="s">
        <v>348</v>
      </c>
      <c r="AA173" s="3">
        <v>30</v>
      </c>
      <c r="AC173" s="3" t="s">
        <v>348</v>
      </c>
      <c r="AF173" s="3" t="s">
        <v>348</v>
      </c>
      <c r="AG173" s="3" t="s">
        <v>348</v>
      </c>
      <c r="AH173" s="3" t="s">
        <v>348</v>
      </c>
      <c r="AI173" s="3" t="s">
        <v>348</v>
      </c>
      <c r="AJ173" s="3" t="s">
        <v>348</v>
      </c>
    </row>
    <row r="174" spans="1:36" s="3" customFormat="1">
      <c r="A174" s="9">
        <v>171</v>
      </c>
      <c r="B174" s="6" t="s">
        <v>194</v>
      </c>
      <c r="C174" s="13" t="s">
        <v>190</v>
      </c>
      <c r="D174" s="6" t="s">
        <v>183</v>
      </c>
      <c r="E174" s="12" t="s">
        <v>36</v>
      </c>
      <c r="F174" s="7"/>
      <c r="G174" s="21">
        <v>65</v>
      </c>
      <c r="H174" s="21">
        <v>65</v>
      </c>
      <c r="I174" s="21"/>
      <c r="J174" s="39">
        <v>65</v>
      </c>
      <c r="P174" s="30">
        <f t="shared" si="6"/>
        <v>65</v>
      </c>
      <c r="Q174" s="31">
        <f t="shared" si="7"/>
        <v>0</v>
      </c>
      <c r="R174" s="32">
        <f t="shared" si="8"/>
        <v>65</v>
      </c>
      <c r="V174" s="3" t="s">
        <v>348</v>
      </c>
      <c r="W174" s="3" t="s">
        <v>348</v>
      </c>
      <c r="X174" s="3" t="s">
        <v>348</v>
      </c>
      <c r="Y174" s="3" t="s">
        <v>348</v>
      </c>
      <c r="Z174" s="3" t="s">
        <v>348</v>
      </c>
      <c r="AA174" s="3">
        <v>65</v>
      </c>
      <c r="AC174" s="3" t="s">
        <v>348</v>
      </c>
      <c r="AF174" s="3" t="s">
        <v>348</v>
      </c>
      <c r="AG174" s="3" t="s">
        <v>348</v>
      </c>
      <c r="AH174" s="3" t="s">
        <v>348</v>
      </c>
      <c r="AI174" s="3" t="s">
        <v>348</v>
      </c>
      <c r="AJ174" s="3" t="s">
        <v>348</v>
      </c>
    </row>
    <row r="175" spans="1:36" s="3" customFormat="1">
      <c r="A175" s="9">
        <v>172</v>
      </c>
      <c r="B175" s="6" t="s">
        <v>194</v>
      </c>
      <c r="C175" s="13" t="s">
        <v>191</v>
      </c>
      <c r="D175" s="6" t="s">
        <v>183</v>
      </c>
      <c r="E175" s="12" t="s">
        <v>36</v>
      </c>
      <c r="F175" s="7"/>
      <c r="G175" s="21">
        <v>75</v>
      </c>
      <c r="H175" s="21">
        <v>75</v>
      </c>
      <c r="I175" s="21"/>
      <c r="J175" s="39">
        <v>75</v>
      </c>
      <c r="P175" s="30">
        <f t="shared" si="6"/>
        <v>75</v>
      </c>
      <c r="Q175" s="31">
        <f t="shared" si="7"/>
        <v>0</v>
      </c>
      <c r="R175" s="32">
        <f t="shared" si="8"/>
        <v>75</v>
      </c>
      <c r="V175" s="3" t="s">
        <v>348</v>
      </c>
      <c r="W175" s="3" t="s">
        <v>348</v>
      </c>
      <c r="X175" s="3" t="s">
        <v>348</v>
      </c>
      <c r="Y175" s="3" t="s">
        <v>348</v>
      </c>
      <c r="Z175" s="3" t="s">
        <v>348</v>
      </c>
      <c r="AA175" s="3">
        <v>75</v>
      </c>
      <c r="AC175" s="3" t="s">
        <v>348</v>
      </c>
      <c r="AF175" s="3" t="s">
        <v>348</v>
      </c>
      <c r="AG175" s="3" t="s">
        <v>348</v>
      </c>
      <c r="AH175" s="3" t="s">
        <v>348</v>
      </c>
      <c r="AI175" s="3" t="s">
        <v>348</v>
      </c>
      <c r="AJ175" s="3" t="s">
        <v>348</v>
      </c>
    </row>
    <row r="176" spans="1:36" s="3" customFormat="1">
      <c r="A176" s="9">
        <v>173</v>
      </c>
      <c r="B176" s="6" t="s">
        <v>194</v>
      </c>
      <c r="C176" s="13" t="s">
        <v>192</v>
      </c>
      <c r="D176" s="6" t="s">
        <v>183</v>
      </c>
      <c r="E176" s="12" t="s">
        <v>36</v>
      </c>
      <c r="F176" s="7"/>
      <c r="G176" s="21">
        <v>15</v>
      </c>
      <c r="H176" s="21">
        <v>15</v>
      </c>
      <c r="I176" s="21"/>
      <c r="J176" s="39">
        <v>15</v>
      </c>
      <c r="P176" s="30">
        <f t="shared" si="6"/>
        <v>15</v>
      </c>
      <c r="Q176" s="31">
        <f t="shared" si="7"/>
        <v>0</v>
      </c>
      <c r="R176" s="32">
        <f t="shared" si="8"/>
        <v>15</v>
      </c>
      <c r="V176" s="3" t="s">
        <v>348</v>
      </c>
      <c r="W176" s="3" t="s">
        <v>348</v>
      </c>
      <c r="X176" s="3" t="s">
        <v>348</v>
      </c>
      <c r="Y176" s="3" t="s">
        <v>348</v>
      </c>
      <c r="Z176" s="3" t="s">
        <v>348</v>
      </c>
      <c r="AA176" s="3">
        <v>15</v>
      </c>
      <c r="AC176" s="3" t="s">
        <v>348</v>
      </c>
      <c r="AF176" s="3" t="s">
        <v>348</v>
      </c>
      <c r="AG176" s="3" t="s">
        <v>348</v>
      </c>
      <c r="AH176" s="3" t="s">
        <v>348</v>
      </c>
      <c r="AI176" s="3" t="s">
        <v>348</v>
      </c>
      <c r="AJ176" s="3" t="s">
        <v>348</v>
      </c>
    </row>
    <row r="177" spans="1:36" s="3" customFormat="1">
      <c r="A177" s="9">
        <v>174</v>
      </c>
      <c r="B177" s="6" t="s">
        <v>194</v>
      </c>
      <c r="C177" s="13" t="s">
        <v>193</v>
      </c>
      <c r="D177" s="6" t="s">
        <v>183</v>
      </c>
      <c r="E177" s="12" t="s">
        <v>36</v>
      </c>
      <c r="F177" s="7"/>
      <c r="G177" s="21">
        <v>1</v>
      </c>
      <c r="H177" s="21">
        <v>1</v>
      </c>
      <c r="I177" s="21"/>
      <c r="J177" s="27">
        <v>1</v>
      </c>
      <c r="P177" s="30">
        <f t="shared" si="6"/>
        <v>1</v>
      </c>
      <c r="Q177" s="31">
        <f t="shared" si="7"/>
        <v>0</v>
      </c>
      <c r="R177" s="32">
        <f t="shared" si="8"/>
        <v>1</v>
      </c>
      <c r="V177" s="3" t="s">
        <v>348</v>
      </c>
      <c r="W177" s="3" t="s">
        <v>348</v>
      </c>
      <c r="X177" s="3" t="s">
        <v>348</v>
      </c>
      <c r="Y177" s="3" t="s">
        <v>348</v>
      </c>
      <c r="Z177" s="3" t="s">
        <v>348</v>
      </c>
      <c r="AA177" s="3">
        <v>1</v>
      </c>
      <c r="AC177" s="3" t="s">
        <v>348</v>
      </c>
      <c r="AF177" s="3" t="s">
        <v>348</v>
      </c>
      <c r="AG177" s="3" t="s">
        <v>348</v>
      </c>
      <c r="AH177" s="3" t="s">
        <v>348</v>
      </c>
      <c r="AI177" s="3" t="s">
        <v>348</v>
      </c>
      <c r="AJ177" s="3" t="s">
        <v>348</v>
      </c>
    </row>
    <row r="178" spans="1:36" s="3" customFormat="1">
      <c r="A178" s="9">
        <v>175</v>
      </c>
      <c r="B178" s="6" t="s">
        <v>194</v>
      </c>
      <c r="C178" s="13" t="s">
        <v>195</v>
      </c>
      <c r="D178" s="6" t="s">
        <v>196</v>
      </c>
      <c r="E178" s="12" t="s">
        <v>36</v>
      </c>
      <c r="F178" s="7"/>
      <c r="G178" s="21">
        <v>50</v>
      </c>
      <c r="H178" s="21">
        <v>50</v>
      </c>
      <c r="I178" s="21">
        <v>40</v>
      </c>
      <c r="J178" s="39">
        <v>10</v>
      </c>
      <c r="P178" s="30">
        <f t="shared" si="6"/>
        <v>10</v>
      </c>
      <c r="Q178" s="31">
        <f t="shared" si="7"/>
        <v>0</v>
      </c>
      <c r="R178" s="32">
        <f t="shared" si="8"/>
        <v>10</v>
      </c>
      <c r="V178" s="3" t="s">
        <v>348</v>
      </c>
      <c r="W178" s="3" t="s">
        <v>348</v>
      </c>
      <c r="X178" s="3" t="s">
        <v>348</v>
      </c>
      <c r="Y178" s="3" t="s">
        <v>348</v>
      </c>
      <c r="Z178" s="3" t="s">
        <v>348</v>
      </c>
      <c r="AA178" s="3">
        <v>10</v>
      </c>
      <c r="AC178" s="3" t="s">
        <v>348</v>
      </c>
      <c r="AF178" s="3" t="s">
        <v>348</v>
      </c>
      <c r="AG178" s="3" t="s">
        <v>348</v>
      </c>
      <c r="AH178" s="3" t="s">
        <v>348</v>
      </c>
      <c r="AI178" s="3" t="s">
        <v>348</v>
      </c>
      <c r="AJ178" s="3" t="s">
        <v>348</v>
      </c>
    </row>
    <row r="179" spans="1:36" s="3" customFormat="1">
      <c r="A179" s="9">
        <v>176</v>
      </c>
      <c r="B179" s="6" t="s">
        <v>194</v>
      </c>
      <c r="C179" s="13" t="s">
        <v>197</v>
      </c>
      <c r="D179" s="6" t="s">
        <v>196</v>
      </c>
      <c r="E179" s="12" t="s">
        <v>36</v>
      </c>
      <c r="F179" s="7"/>
      <c r="G179" s="21">
        <v>50</v>
      </c>
      <c r="H179" s="21">
        <v>50</v>
      </c>
      <c r="I179" s="21">
        <v>30</v>
      </c>
      <c r="J179" s="39">
        <v>20</v>
      </c>
      <c r="P179" s="30">
        <f t="shared" si="6"/>
        <v>20</v>
      </c>
      <c r="Q179" s="31">
        <f t="shared" si="7"/>
        <v>0</v>
      </c>
      <c r="R179" s="32">
        <f t="shared" si="8"/>
        <v>20</v>
      </c>
      <c r="V179" s="3" t="s">
        <v>348</v>
      </c>
      <c r="W179" s="3" t="s">
        <v>348</v>
      </c>
      <c r="X179" s="3" t="s">
        <v>348</v>
      </c>
      <c r="Y179" s="3" t="s">
        <v>348</v>
      </c>
      <c r="Z179" s="3" t="s">
        <v>348</v>
      </c>
      <c r="AA179" s="3">
        <v>20</v>
      </c>
      <c r="AC179" s="3" t="s">
        <v>348</v>
      </c>
      <c r="AF179" s="3" t="s">
        <v>348</v>
      </c>
      <c r="AG179" s="3" t="s">
        <v>348</v>
      </c>
      <c r="AH179" s="3" t="s">
        <v>348</v>
      </c>
      <c r="AI179" s="3" t="s">
        <v>348</v>
      </c>
      <c r="AJ179" s="3" t="s">
        <v>348</v>
      </c>
    </row>
    <row r="180" spans="1:36" s="3" customFormat="1">
      <c r="A180" s="9">
        <v>177</v>
      </c>
      <c r="B180" s="6" t="s">
        <v>194</v>
      </c>
      <c r="C180" s="13" t="s">
        <v>198</v>
      </c>
      <c r="D180" s="6" t="s">
        <v>196</v>
      </c>
      <c r="E180" s="12" t="s">
        <v>36</v>
      </c>
      <c r="F180" s="7"/>
      <c r="G180" s="21">
        <v>50</v>
      </c>
      <c r="H180" s="21">
        <v>50</v>
      </c>
      <c r="I180" s="21">
        <v>41</v>
      </c>
      <c r="J180" s="39">
        <v>9</v>
      </c>
      <c r="P180" s="30">
        <f t="shared" si="6"/>
        <v>9</v>
      </c>
      <c r="Q180" s="31">
        <f t="shared" si="7"/>
        <v>0</v>
      </c>
      <c r="R180" s="32">
        <f t="shared" si="8"/>
        <v>9</v>
      </c>
      <c r="V180" s="3" t="s">
        <v>348</v>
      </c>
      <c r="W180" s="3" t="s">
        <v>348</v>
      </c>
      <c r="X180" s="3" t="s">
        <v>348</v>
      </c>
      <c r="Y180" s="3" t="s">
        <v>348</v>
      </c>
      <c r="Z180" s="3" t="s">
        <v>348</v>
      </c>
      <c r="AA180" s="3">
        <v>9</v>
      </c>
      <c r="AC180" s="3" t="s">
        <v>348</v>
      </c>
      <c r="AF180" s="3" t="s">
        <v>348</v>
      </c>
      <c r="AG180" s="3" t="s">
        <v>348</v>
      </c>
      <c r="AH180" s="3" t="s">
        <v>348</v>
      </c>
      <c r="AI180" s="3" t="s">
        <v>348</v>
      </c>
      <c r="AJ180" s="3" t="s">
        <v>348</v>
      </c>
    </row>
    <row r="181" spans="1:36" s="3" customFormat="1">
      <c r="A181" s="9">
        <v>178</v>
      </c>
      <c r="B181" s="6" t="s">
        <v>194</v>
      </c>
      <c r="C181" s="13" t="s">
        <v>199</v>
      </c>
      <c r="D181" s="6" t="s">
        <v>196</v>
      </c>
      <c r="E181" s="12" t="s">
        <v>36</v>
      </c>
      <c r="F181" s="7"/>
      <c r="G181" s="21">
        <v>2</v>
      </c>
      <c r="H181" s="21">
        <v>2</v>
      </c>
      <c r="I181" s="21">
        <v>2</v>
      </c>
      <c r="J181" s="27">
        <v>0</v>
      </c>
      <c r="P181" s="30">
        <f t="shared" si="6"/>
        <v>0</v>
      </c>
      <c r="Q181" s="31">
        <f t="shared" si="7"/>
        <v>0</v>
      </c>
      <c r="R181" s="32">
        <f t="shared" si="8"/>
        <v>0</v>
      </c>
      <c r="V181" s="3" t="s">
        <v>348</v>
      </c>
      <c r="W181" s="3" t="s">
        <v>348</v>
      </c>
      <c r="X181" s="3" t="s">
        <v>348</v>
      </c>
      <c r="Y181" s="3" t="s">
        <v>348</v>
      </c>
      <c r="Z181" s="3" t="s">
        <v>348</v>
      </c>
      <c r="AC181" s="3" t="s">
        <v>348</v>
      </c>
      <c r="AF181" s="3" t="s">
        <v>348</v>
      </c>
      <c r="AG181" s="3" t="s">
        <v>348</v>
      </c>
      <c r="AH181" s="3" t="s">
        <v>348</v>
      </c>
      <c r="AI181" s="3" t="s">
        <v>348</v>
      </c>
      <c r="AJ181" s="3" t="s">
        <v>348</v>
      </c>
    </row>
    <row r="182" spans="1:36" s="3" customFormat="1">
      <c r="A182" s="9">
        <v>179</v>
      </c>
      <c r="B182" s="6" t="s">
        <v>194</v>
      </c>
      <c r="C182" s="13" t="s">
        <v>200</v>
      </c>
      <c r="D182" s="6" t="s">
        <v>196</v>
      </c>
      <c r="E182" s="12" t="s">
        <v>36</v>
      </c>
      <c r="F182" s="7"/>
      <c r="G182" s="21">
        <v>2</v>
      </c>
      <c r="H182" s="21">
        <v>2</v>
      </c>
      <c r="I182" s="21"/>
      <c r="J182" s="27">
        <v>2</v>
      </c>
      <c r="P182" s="30">
        <f t="shared" si="6"/>
        <v>2</v>
      </c>
      <c r="Q182" s="31">
        <f t="shared" si="7"/>
        <v>0</v>
      </c>
      <c r="R182" s="32">
        <f t="shared" si="8"/>
        <v>2</v>
      </c>
      <c r="V182" s="3" t="s">
        <v>348</v>
      </c>
      <c r="W182" s="3" t="s">
        <v>348</v>
      </c>
      <c r="X182" s="3" t="s">
        <v>348</v>
      </c>
      <c r="Y182" s="3" t="s">
        <v>348</v>
      </c>
      <c r="Z182" s="3" t="s">
        <v>348</v>
      </c>
      <c r="AA182" s="3">
        <v>2</v>
      </c>
      <c r="AC182" s="3" t="s">
        <v>348</v>
      </c>
      <c r="AF182" s="3" t="s">
        <v>348</v>
      </c>
      <c r="AG182" s="3" t="s">
        <v>348</v>
      </c>
      <c r="AH182" s="3" t="s">
        <v>348</v>
      </c>
      <c r="AI182" s="3" t="s">
        <v>348</v>
      </c>
      <c r="AJ182" s="3" t="s">
        <v>348</v>
      </c>
    </row>
    <row r="183" spans="1:36" s="3" customFormat="1">
      <c r="A183" s="9">
        <v>180</v>
      </c>
      <c r="B183" s="6" t="s">
        <v>194</v>
      </c>
      <c r="C183" s="13" t="s">
        <v>201</v>
      </c>
      <c r="D183" s="6" t="s">
        <v>196</v>
      </c>
      <c r="E183" s="12" t="s">
        <v>36</v>
      </c>
      <c r="F183" s="7"/>
      <c r="G183" s="21">
        <v>25</v>
      </c>
      <c r="H183" s="21">
        <v>25</v>
      </c>
      <c r="I183" s="21">
        <v>22</v>
      </c>
      <c r="J183" s="39">
        <v>3</v>
      </c>
      <c r="P183" s="30">
        <f t="shared" si="6"/>
        <v>3</v>
      </c>
      <c r="Q183" s="31">
        <f t="shared" si="7"/>
        <v>0</v>
      </c>
      <c r="R183" s="32">
        <f t="shared" si="8"/>
        <v>3</v>
      </c>
      <c r="V183" s="3" t="s">
        <v>348</v>
      </c>
      <c r="W183" s="3" t="s">
        <v>348</v>
      </c>
      <c r="X183" s="3" t="s">
        <v>348</v>
      </c>
      <c r="Y183" s="3" t="s">
        <v>348</v>
      </c>
      <c r="Z183" s="3" t="s">
        <v>348</v>
      </c>
      <c r="AA183" s="3">
        <v>3</v>
      </c>
      <c r="AC183" s="3" t="s">
        <v>348</v>
      </c>
      <c r="AF183" s="3" t="s">
        <v>348</v>
      </c>
      <c r="AG183" s="3" t="s">
        <v>348</v>
      </c>
      <c r="AH183" s="3" t="s">
        <v>348</v>
      </c>
      <c r="AI183" s="3" t="s">
        <v>348</v>
      </c>
      <c r="AJ183" s="3" t="s">
        <v>348</v>
      </c>
    </row>
    <row r="184" spans="1:36" s="3" customFormat="1">
      <c r="A184" s="9">
        <v>181</v>
      </c>
      <c r="B184" s="6" t="s">
        <v>194</v>
      </c>
      <c r="C184" s="13" t="s">
        <v>202</v>
      </c>
      <c r="D184" s="6" t="s">
        <v>196</v>
      </c>
      <c r="E184" s="12" t="s">
        <v>36</v>
      </c>
      <c r="F184" s="7"/>
      <c r="G184" s="21">
        <v>2</v>
      </c>
      <c r="H184" s="21">
        <v>2</v>
      </c>
      <c r="I184" s="21">
        <v>2</v>
      </c>
      <c r="J184" s="27">
        <v>0</v>
      </c>
      <c r="P184" s="30">
        <f t="shared" si="6"/>
        <v>0</v>
      </c>
      <c r="Q184" s="31">
        <f t="shared" si="7"/>
        <v>0</v>
      </c>
      <c r="R184" s="32">
        <f t="shared" si="8"/>
        <v>0</v>
      </c>
      <c r="V184" s="3" t="s">
        <v>348</v>
      </c>
      <c r="W184" s="3" t="s">
        <v>348</v>
      </c>
      <c r="X184" s="3" t="s">
        <v>348</v>
      </c>
      <c r="Y184" s="3" t="s">
        <v>348</v>
      </c>
      <c r="Z184" s="3" t="s">
        <v>348</v>
      </c>
      <c r="AC184" s="3" t="s">
        <v>348</v>
      </c>
      <c r="AF184" s="3" t="s">
        <v>348</v>
      </c>
      <c r="AG184" s="3" t="s">
        <v>348</v>
      </c>
      <c r="AH184" s="3" t="s">
        <v>348</v>
      </c>
      <c r="AI184" s="3" t="s">
        <v>348</v>
      </c>
      <c r="AJ184" s="3" t="s">
        <v>348</v>
      </c>
    </row>
    <row r="185" spans="1:36" s="3" customFormat="1">
      <c r="A185" s="9">
        <v>182</v>
      </c>
      <c r="B185" s="6" t="s">
        <v>194</v>
      </c>
      <c r="C185" s="13" t="s">
        <v>203</v>
      </c>
      <c r="D185" s="6" t="s">
        <v>196</v>
      </c>
      <c r="E185" s="12" t="s">
        <v>36</v>
      </c>
      <c r="F185" s="7"/>
      <c r="G185" s="21">
        <v>12</v>
      </c>
      <c r="H185" s="21">
        <v>12</v>
      </c>
      <c r="I185" s="21">
        <v>6</v>
      </c>
      <c r="J185" s="27">
        <v>6</v>
      </c>
      <c r="P185" s="30">
        <f t="shared" si="6"/>
        <v>6</v>
      </c>
      <c r="Q185" s="31">
        <f t="shared" si="7"/>
        <v>0</v>
      </c>
      <c r="R185" s="32">
        <f t="shared" si="8"/>
        <v>6</v>
      </c>
      <c r="V185" s="3" t="s">
        <v>348</v>
      </c>
      <c r="W185" s="3" t="s">
        <v>348</v>
      </c>
      <c r="X185" s="3" t="s">
        <v>348</v>
      </c>
      <c r="Y185" s="3" t="s">
        <v>348</v>
      </c>
      <c r="Z185" s="3" t="s">
        <v>348</v>
      </c>
      <c r="AA185" s="3">
        <v>6</v>
      </c>
      <c r="AC185" s="3" t="s">
        <v>348</v>
      </c>
      <c r="AF185" s="3" t="s">
        <v>348</v>
      </c>
      <c r="AG185" s="3" t="s">
        <v>348</v>
      </c>
      <c r="AH185" s="3" t="s">
        <v>348</v>
      </c>
      <c r="AI185" s="3" t="s">
        <v>348</v>
      </c>
      <c r="AJ185" s="3" t="s">
        <v>348</v>
      </c>
    </row>
    <row r="186" spans="1:36" s="3" customFormat="1">
      <c r="A186" s="9">
        <v>183</v>
      </c>
      <c r="B186" s="6" t="s">
        <v>194</v>
      </c>
      <c r="C186" s="13" t="s">
        <v>204</v>
      </c>
      <c r="D186" s="18" t="s">
        <v>196</v>
      </c>
      <c r="E186" s="12" t="s">
        <v>36</v>
      </c>
      <c r="F186" s="7"/>
      <c r="G186" s="21">
        <v>2</v>
      </c>
      <c r="H186" s="21">
        <v>2</v>
      </c>
      <c r="I186" s="21"/>
      <c r="J186" s="27">
        <v>2</v>
      </c>
      <c r="P186" s="30">
        <f t="shared" si="6"/>
        <v>2</v>
      </c>
      <c r="Q186" s="31">
        <f t="shared" si="7"/>
        <v>0</v>
      </c>
      <c r="R186" s="32">
        <f t="shared" si="8"/>
        <v>2</v>
      </c>
      <c r="V186" s="3" t="s">
        <v>348</v>
      </c>
      <c r="W186" s="3" t="s">
        <v>348</v>
      </c>
      <c r="X186" s="3" t="s">
        <v>348</v>
      </c>
      <c r="Y186" s="3" t="s">
        <v>348</v>
      </c>
      <c r="Z186" s="3" t="s">
        <v>348</v>
      </c>
      <c r="AA186" s="3">
        <v>2</v>
      </c>
      <c r="AC186" s="3" t="s">
        <v>348</v>
      </c>
      <c r="AF186" s="3" t="s">
        <v>348</v>
      </c>
      <c r="AG186" s="3" t="s">
        <v>348</v>
      </c>
      <c r="AH186" s="3" t="s">
        <v>348</v>
      </c>
      <c r="AI186" s="3" t="s">
        <v>348</v>
      </c>
      <c r="AJ186" s="3" t="s">
        <v>348</v>
      </c>
    </row>
    <row r="187" spans="1:36" s="3" customFormat="1" ht="40.200000000000003">
      <c r="A187" s="9">
        <v>184</v>
      </c>
      <c r="B187" s="6" t="s">
        <v>208</v>
      </c>
      <c r="C187" s="16" t="s">
        <v>205</v>
      </c>
      <c r="D187" s="19" t="s">
        <v>206</v>
      </c>
      <c r="E187" s="17" t="s">
        <v>207</v>
      </c>
      <c r="F187" s="7" t="s">
        <v>393</v>
      </c>
      <c r="G187" s="21">
        <v>1500</v>
      </c>
      <c r="H187" s="21">
        <v>1600</v>
      </c>
      <c r="I187" s="21"/>
      <c r="J187" s="39">
        <v>1600</v>
      </c>
      <c r="P187" s="30">
        <f t="shared" si="6"/>
        <v>1600</v>
      </c>
      <c r="Q187" s="31">
        <f t="shared" si="7"/>
        <v>0</v>
      </c>
      <c r="R187" s="32">
        <f t="shared" si="8"/>
        <v>1600</v>
      </c>
      <c r="V187" s="3" t="s">
        <v>348</v>
      </c>
      <c r="W187" s="3" t="s">
        <v>348</v>
      </c>
      <c r="X187" s="3" t="s">
        <v>348</v>
      </c>
      <c r="Y187" s="3" t="s">
        <v>348</v>
      </c>
      <c r="Z187" s="3" t="s">
        <v>348</v>
      </c>
      <c r="AC187" s="3" t="s">
        <v>348</v>
      </c>
      <c r="AF187" s="3" t="s">
        <v>348</v>
      </c>
      <c r="AG187" s="3" t="s">
        <v>348</v>
      </c>
      <c r="AH187" s="3">
        <v>1600</v>
      </c>
      <c r="AI187" s="3" t="s">
        <v>348</v>
      </c>
      <c r="AJ187" s="3" t="s">
        <v>348</v>
      </c>
    </row>
    <row r="188" spans="1:36" s="3" customFormat="1" ht="40.200000000000003">
      <c r="A188" s="9">
        <v>185</v>
      </c>
      <c r="B188" s="6" t="s">
        <v>209</v>
      </c>
      <c r="C188" s="16" t="s">
        <v>205</v>
      </c>
      <c r="D188" s="19" t="s">
        <v>206</v>
      </c>
      <c r="E188" s="17" t="s">
        <v>207</v>
      </c>
      <c r="F188" s="7" t="s">
        <v>393</v>
      </c>
      <c r="G188" s="21">
        <v>2600</v>
      </c>
      <c r="H188" s="21">
        <v>2700</v>
      </c>
      <c r="I188" s="21"/>
      <c r="J188" s="39">
        <v>2700</v>
      </c>
      <c r="P188" s="30">
        <f t="shared" si="6"/>
        <v>2700</v>
      </c>
      <c r="Q188" s="31">
        <f t="shared" si="7"/>
        <v>0</v>
      </c>
      <c r="R188" s="32">
        <f t="shared" si="8"/>
        <v>2700</v>
      </c>
      <c r="V188" s="3" t="s">
        <v>348</v>
      </c>
      <c r="W188" s="3" t="s">
        <v>348</v>
      </c>
      <c r="X188" s="3" t="s">
        <v>348</v>
      </c>
      <c r="Y188" s="3" t="s">
        <v>348</v>
      </c>
      <c r="Z188" s="3" t="s">
        <v>348</v>
      </c>
      <c r="AC188" s="3" t="s">
        <v>348</v>
      </c>
      <c r="AF188" s="3" t="s">
        <v>348</v>
      </c>
      <c r="AG188" s="3" t="s">
        <v>348</v>
      </c>
      <c r="AH188" s="3">
        <v>2700</v>
      </c>
      <c r="AI188" s="3" t="s">
        <v>348</v>
      </c>
      <c r="AJ188" s="3" t="s">
        <v>348</v>
      </c>
    </row>
    <row r="189" spans="1:36" s="3" customFormat="1" ht="40.200000000000003">
      <c r="A189" s="9">
        <v>186</v>
      </c>
      <c r="B189" s="6" t="s">
        <v>210</v>
      </c>
      <c r="C189" s="16" t="s">
        <v>205</v>
      </c>
      <c r="D189" s="19" t="s">
        <v>206</v>
      </c>
      <c r="E189" s="17" t="s">
        <v>207</v>
      </c>
      <c r="F189" s="7" t="s">
        <v>394</v>
      </c>
      <c r="G189" s="21">
        <v>72</v>
      </c>
      <c r="H189" s="21">
        <v>80</v>
      </c>
      <c r="I189" s="21"/>
      <c r="J189" s="27">
        <v>80</v>
      </c>
      <c r="P189" s="30">
        <f t="shared" si="6"/>
        <v>80</v>
      </c>
      <c r="Q189" s="31">
        <f t="shared" si="7"/>
        <v>0</v>
      </c>
      <c r="R189" s="32">
        <f t="shared" si="8"/>
        <v>80</v>
      </c>
      <c r="V189" s="3" t="s">
        <v>348</v>
      </c>
      <c r="W189" s="3" t="s">
        <v>348</v>
      </c>
      <c r="X189" s="3" t="s">
        <v>348</v>
      </c>
      <c r="Y189" s="3" t="s">
        <v>348</v>
      </c>
      <c r="Z189" s="3" t="s">
        <v>348</v>
      </c>
      <c r="AC189" s="3" t="s">
        <v>348</v>
      </c>
      <c r="AF189" s="3" t="s">
        <v>348</v>
      </c>
      <c r="AG189" s="3" t="s">
        <v>348</v>
      </c>
      <c r="AH189" s="3">
        <v>80</v>
      </c>
      <c r="AI189" s="3" t="s">
        <v>348</v>
      </c>
      <c r="AJ189" s="3" t="s">
        <v>348</v>
      </c>
    </row>
    <row r="190" spans="1:36" s="3" customFormat="1" ht="40.200000000000003">
      <c r="A190" s="9">
        <v>187</v>
      </c>
      <c r="B190" s="6" t="s">
        <v>211</v>
      </c>
      <c r="C190" s="16" t="s">
        <v>205</v>
      </c>
      <c r="D190" s="19" t="s">
        <v>206</v>
      </c>
      <c r="E190" s="17" t="s">
        <v>207</v>
      </c>
      <c r="F190" s="7" t="s">
        <v>395</v>
      </c>
      <c r="G190" s="21">
        <v>604</v>
      </c>
      <c r="H190" s="21">
        <v>660</v>
      </c>
      <c r="I190" s="21">
        <v>600</v>
      </c>
      <c r="J190" s="39">
        <v>60</v>
      </c>
      <c r="P190" s="30">
        <f t="shared" si="6"/>
        <v>60</v>
      </c>
      <c r="Q190" s="31">
        <f t="shared" si="7"/>
        <v>0</v>
      </c>
      <c r="R190" s="32">
        <f t="shared" si="8"/>
        <v>60</v>
      </c>
      <c r="V190" s="3" t="s">
        <v>348</v>
      </c>
      <c r="W190" s="3" t="s">
        <v>348</v>
      </c>
      <c r="X190" s="3" t="s">
        <v>348</v>
      </c>
      <c r="Y190" s="3" t="s">
        <v>348</v>
      </c>
      <c r="Z190" s="3" t="s">
        <v>348</v>
      </c>
      <c r="AC190" s="3" t="s">
        <v>348</v>
      </c>
      <c r="AF190" s="3" t="s">
        <v>348</v>
      </c>
      <c r="AG190" s="3" t="s">
        <v>348</v>
      </c>
      <c r="AH190" s="3">
        <v>60</v>
      </c>
      <c r="AI190" s="3" t="s">
        <v>348</v>
      </c>
      <c r="AJ190" s="3" t="s">
        <v>348</v>
      </c>
    </row>
    <row r="191" spans="1:36" s="3" customFormat="1" ht="40.200000000000003">
      <c r="A191" s="9">
        <v>188</v>
      </c>
      <c r="B191" s="6" t="s">
        <v>212</v>
      </c>
      <c r="C191" s="16" t="s">
        <v>205</v>
      </c>
      <c r="D191" s="19" t="s">
        <v>206</v>
      </c>
      <c r="E191" s="17" t="s">
        <v>207</v>
      </c>
      <c r="F191" s="7" t="s">
        <v>396</v>
      </c>
      <c r="G191" s="21">
        <v>24</v>
      </c>
      <c r="H191" s="21">
        <v>32</v>
      </c>
      <c r="I191" s="21"/>
      <c r="J191" s="39">
        <v>32</v>
      </c>
      <c r="P191" s="30">
        <f t="shared" si="6"/>
        <v>32</v>
      </c>
      <c r="Q191" s="31">
        <f t="shared" si="7"/>
        <v>0</v>
      </c>
      <c r="R191" s="32">
        <f t="shared" si="8"/>
        <v>32</v>
      </c>
      <c r="V191" s="3" t="s">
        <v>348</v>
      </c>
      <c r="W191" s="3" t="s">
        <v>348</v>
      </c>
      <c r="X191" s="3" t="s">
        <v>348</v>
      </c>
      <c r="Y191" s="3" t="s">
        <v>348</v>
      </c>
      <c r="Z191" s="3" t="s">
        <v>348</v>
      </c>
      <c r="AC191" s="3" t="s">
        <v>348</v>
      </c>
      <c r="AF191" s="3" t="s">
        <v>348</v>
      </c>
      <c r="AG191" s="3" t="s">
        <v>348</v>
      </c>
      <c r="AH191" s="3">
        <v>32</v>
      </c>
      <c r="AI191" s="3" t="s">
        <v>348</v>
      </c>
      <c r="AJ191" s="3" t="s">
        <v>348</v>
      </c>
    </row>
    <row r="192" spans="1:36" s="3" customFormat="1" ht="40.200000000000003">
      <c r="A192" s="9">
        <v>189</v>
      </c>
      <c r="B192" s="6" t="s">
        <v>213</v>
      </c>
      <c r="C192" s="16" t="s">
        <v>205</v>
      </c>
      <c r="D192" s="19" t="s">
        <v>206</v>
      </c>
      <c r="E192" s="17" t="s">
        <v>207</v>
      </c>
      <c r="F192" s="7" t="s">
        <v>397</v>
      </c>
      <c r="G192" s="21">
        <v>12</v>
      </c>
      <c r="H192" s="21">
        <v>12</v>
      </c>
      <c r="I192" s="21">
        <v>12</v>
      </c>
      <c r="J192" s="27">
        <v>0</v>
      </c>
      <c r="P192" s="30">
        <f t="shared" si="6"/>
        <v>0</v>
      </c>
      <c r="Q192" s="31">
        <f t="shared" si="7"/>
        <v>0</v>
      </c>
      <c r="R192" s="32">
        <f t="shared" si="8"/>
        <v>0</v>
      </c>
      <c r="V192" s="3" t="s">
        <v>348</v>
      </c>
      <c r="W192" s="3" t="s">
        <v>348</v>
      </c>
      <c r="X192" s="3" t="s">
        <v>348</v>
      </c>
      <c r="Y192" s="3" t="s">
        <v>348</v>
      </c>
      <c r="Z192" s="3" t="s">
        <v>348</v>
      </c>
      <c r="AC192" s="3" t="s">
        <v>348</v>
      </c>
      <c r="AF192" s="3" t="s">
        <v>348</v>
      </c>
      <c r="AG192" s="3" t="s">
        <v>348</v>
      </c>
      <c r="AH192" s="3" t="s">
        <v>348</v>
      </c>
      <c r="AI192" s="3" t="s">
        <v>348</v>
      </c>
      <c r="AJ192" s="3" t="s">
        <v>348</v>
      </c>
    </row>
    <row r="193" spans="1:36" s="3" customFormat="1" ht="40.200000000000003">
      <c r="A193" s="9">
        <v>190</v>
      </c>
      <c r="B193" s="6" t="s">
        <v>214</v>
      </c>
      <c r="C193" s="16" t="s">
        <v>205</v>
      </c>
      <c r="D193" s="19" t="s">
        <v>206</v>
      </c>
      <c r="E193" s="17" t="s">
        <v>207</v>
      </c>
      <c r="F193" s="7" t="s">
        <v>398</v>
      </c>
      <c r="G193" s="21">
        <v>850</v>
      </c>
      <c r="H193" s="21">
        <v>900</v>
      </c>
      <c r="I193" s="21">
        <v>800</v>
      </c>
      <c r="J193" s="39">
        <v>100</v>
      </c>
      <c r="P193" s="30">
        <f t="shared" si="6"/>
        <v>100</v>
      </c>
      <c r="Q193" s="31">
        <f t="shared" si="7"/>
        <v>0</v>
      </c>
      <c r="R193" s="32">
        <f t="shared" si="8"/>
        <v>100</v>
      </c>
      <c r="V193" s="3" t="s">
        <v>348</v>
      </c>
      <c r="W193" s="3" t="s">
        <v>348</v>
      </c>
      <c r="X193" s="3" t="s">
        <v>348</v>
      </c>
      <c r="Y193" s="3" t="s">
        <v>348</v>
      </c>
      <c r="Z193" s="3" t="s">
        <v>348</v>
      </c>
      <c r="AC193" s="3" t="s">
        <v>348</v>
      </c>
      <c r="AF193" s="3" t="s">
        <v>348</v>
      </c>
      <c r="AG193" s="3" t="s">
        <v>348</v>
      </c>
      <c r="AH193" s="3">
        <v>100</v>
      </c>
      <c r="AI193" s="3" t="s">
        <v>348</v>
      </c>
      <c r="AJ193" s="3" t="s">
        <v>348</v>
      </c>
    </row>
    <row r="194" spans="1:36" s="3" customFormat="1" ht="40.200000000000003">
      <c r="A194" s="9">
        <v>191</v>
      </c>
      <c r="B194" s="6" t="s">
        <v>215</v>
      </c>
      <c r="C194" s="16" t="s">
        <v>205</v>
      </c>
      <c r="D194" s="19" t="s">
        <v>206</v>
      </c>
      <c r="E194" s="17" t="s">
        <v>207</v>
      </c>
      <c r="F194" s="7" t="s">
        <v>399</v>
      </c>
      <c r="G194" s="21">
        <v>1000</v>
      </c>
      <c r="H194" s="21">
        <v>1000</v>
      </c>
      <c r="I194" s="21">
        <v>90</v>
      </c>
      <c r="J194" s="39">
        <v>910</v>
      </c>
      <c r="P194" s="30">
        <f t="shared" si="6"/>
        <v>910</v>
      </c>
      <c r="Q194" s="31">
        <f t="shared" si="7"/>
        <v>0</v>
      </c>
      <c r="R194" s="32">
        <f t="shared" si="8"/>
        <v>910</v>
      </c>
      <c r="V194" s="3" t="s">
        <v>348</v>
      </c>
      <c r="W194" s="3" t="s">
        <v>348</v>
      </c>
      <c r="X194" s="3" t="s">
        <v>348</v>
      </c>
      <c r="Y194" s="3" t="s">
        <v>348</v>
      </c>
      <c r="Z194" s="3" t="s">
        <v>348</v>
      </c>
      <c r="AC194" s="3" t="s">
        <v>348</v>
      </c>
      <c r="AF194" s="3" t="s">
        <v>348</v>
      </c>
      <c r="AG194" s="3" t="s">
        <v>348</v>
      </c>
      <c r="AH194" s="3">
        <v>910</v>
      </c>
      <c r="AI194" s="3" t="s">
        <v>348</v>
      </c>
      <c r="AJ194" s="3" t="s">
        <v>348</v>
      </c>
    </row>
    <row r="195" spans="1:36" s="3" customFormat="1" ht="40.200000000000003">
      <c r="A195" s="9">
        <v>192</v>
      </c>
      <c r="B195" s="6" t="s">
        <v>216</v>
      </c>
      <c r="C195" s="16" t="s">
        <v>205</v>
      </c>
      <c r="D195" s="19" t="s">
        <v>206</v>
      </c>
      <c r="E195" s="17" t="s">
        <v>207</v>
      </c>
      <c r="F195" s="7"/>
      <c r="G195" s="21">
        <v>16</v>
      </c>
      <c r="H195" s="21">
        <v>20</v>
      </c>
      <c r="I195" s="21"/>
      <c r="J195" s="27">
        <v>20</v>
      </c>
      <c r="P195" s="30">
        <f t="shared" si="6"/>
        <v>20</v>
      </c>
      <c r="Q195" s="31">
        <f t="shared" si="7"/>
        <v>0</v>
      </c>
      <c r="R195" s="32">
        <f t="shared" si="8"/>
        <v>20</v>
      </c>
      <c r="V195" s="3" t="s">
        <v>348</v>
      </c>
      <c r="W195" s="3" t="s">
        <v>348</v>
      </c>
      <c r="X195" s="3" t="s">
        <v>348</v>
      </c>
      <c r="Y195" s="3" t="s">
        <v>348</v>
      </c>
      <c r="Z195" s="3" t="s">
        <v>348</v>
      </c>
      <c r="AC195" s="3" t="s">
        <v>348</v>
      </c>
      <c r="AF195" s="3" t="s">
        <v>348</v>
      </c>
      <c r="AG195" s="3" t="s">
        <v>348</v>
      </c>
      <c r="AH195" s="3">
        <v>20</v>
      </c>
      <c r="AI195" s="3" t="s">
        <v>348</v>
      </c>
      <c r="AJ195" s="3" t="s">
        <v>348</v>
      </c>
    </row>
    <row r="196" spans="1:36" s="3" customFormat="1" ht="40.200000000000003">
      <c r="A196" s="9">
        <v>193</v>
      </c>
      <c r="B196" s="6" t="s">
        <v>217</v>
      </c>
      <c r="C196" s="16" t="s">
        <v>205</v>
      </c>
      <c r="D196" s="19" t="s">
        <v>206</v>
      </c>
      <c r="E196" s="17" t="s">
        <v>207</v>
      </c>
      <c r="F196" s="7" t="s">
        <v>400</v>
      </c>
      <c r="G196" s="21">
        <v>84</v>
      </c>
      <c r="H196" s="21">
        <v>100</v>
      </c>
      <c r="I196" s="21">
        <v>75</v>
      </c>
      <c r="J196" s="27">
        <v>25</v>
      </c>
      <c r="P196" s="30">
        <f t="shared" si="6"/>
        <v>25</v>
      </c>
      <c r="Q196" s="31">
        <f t="shared" si="7"/>
        <v>0</v>
      </c>
      <c r="R196" s="32">
        <f t="shared" si="8"/>
        <v>25</v>
      </c>
      <c r="V196" s="3" t="s">
        <v>348</v>
      </c>
      <c r="W196" s="3" t="s">
        <v>348</v>
      </c>
      <c r="X196" s="3" t="s">
        <v>348</v>
      </c>
      <c r="Y196" s="3" t="s">
        <v>348</v>
      </c>
      <c r="Z196" s="3" t="s">
        <v>348</v>
      </c>
      <c r="AC196" s="3" t="s">
        <v>348</v>
      </c>
      <c r="AF196" s="3" t="s">
        <v>348</v>
      </c>
      <c r="AG196" s="3" t="s">
        <v>348</v>
      </c>
      <c r="AH196" s="3">
        <v>25</v>
      </c>
      <c r="AI196" s="3" t="s">
        <v>348</v>
      </c>
      <c r="AJ196" s="3" t="s">
        <v>348</v>
      </c>
    </row>
    <row r="197" spans="1:36" s="3" customFormat="1" ht="40.200000000000003">
      <c r="A197" s="9">
        <v>194</v>
      </c>
      <c r="B197" s="6" t="s">
        <v>218</v>
      </c>
      <c r="C197" s="16" t="s">
        <v>205</v>
      </c>
      <c r="D197" s="19" t="s">
        <v>206</v>
      </c>
      <c r="E197" s="17" t="s">
        <v>207</v>
      </c>
      <c r="F197" s="7" t="s">
        <v>401</v>
      </c>
      <c r="G197" s="21">
        <v>24</v>
      </c>
      <c r="H197" s="21">
        <v>30</v>
      </c>
      <c r="I197" s="21"/>
      <c r="J197" s="27">
        <v>30</v>
      </c>
      <c r="P197" s="30">
        <f t="shared" ref="P197:P260" si="9">SUM(J197:O197)</f>
        <v>30</v>
      </c>
      <c r="Q197" s="31">
        <f t="shared" ref="Q197:Q260" si="10">+R197-P197</f>
        <v>0</v>
      </c>
      <c r="R197" s="32">
        <f t="shared" ref="R197:R260" si="11">SUM(S197:FB197)</f>
        <v>30</v>
      </c>
      <c r="V197" s="3" t="s">
        <v>348</v>
      </c>
      <c r="W197" s="3" t="s">
        <v>348</v>
      </c>
      <c r="X197" s="3" t="s">
        <v>348</v>
      </c>
      <c r="Y197" s="3" t="s">
        <v>348</v>
      </c>
      <c r="Z197" s="3" t="s">
        <v>348</v>
      </c>
      <c r="AC197" s="3" t="s">
        <v>348</v>
      </c>
      <c r="AF197" s="3" t="s">
        <v>348</v>
      </c>
      <c r="AG197" s="3" t="s">
        <v>348</v>
      </c>
      <c r="AH197" s="3">
        <v>30</v>
      </c>
      <c r="AI197" s="3" t="s">
        <v>348</v>
      </c>
      <c r="AJ197" s="3" t="s">
        <v>348</v>
      </c>
    </row>
    <row r="198" spans="1:36" s="3" customFormat="1" ht="32.4">
      <c r="A198" s="9">
        <v>195</v>
      </c>
      <c r="B198" s="6" t="s">
        <v>223</v>
      </c>
      <c r="C198" s="13" t="s">
        <v>221</v>
      </c>
      <c r="D198" s="6" t="s">
        <v>220</v>
      </c>
      <c r="E198" s="12" t="s">
        <v>36</v>
      </c>
      <c r="F198" s="7"/>
      <c r="G198" s="21">
        <v>71</v>
      </c>
      <c r="H198" s="21">
        <v>71</v>
      </c>
      <c r="I198" s="21"/>
      <c r="J198" s="39">
        <v>71</v>
      </c>
      <c r="P198" s="30">
        <f t="shared" si="9"/>
        <v>71</v>
      </c>
      <c r="Q198" s="31">
        <f t="shared" si="10"/>
        <v>0</v>
      </c>
      <c r="R198" s="32">
        <f t="shared" si="11"/>
        <v>71</v>
      </c>
      <c r="V198" s="3" t="s">
        <v>348</v>
      </c>
      <c r="W198" s="3" t="s">
        <v>348</v>
      </c>
      <c r="X198" s="3" t="s">
        <v>348</v>
      </c>
      <c r="Y198" s="3" t="s">
        <v>348</v>
      </c>
      <c r="Z198" s="3" t="s">
        <v>348</v>
      </c>
      <c r="AC198" s="3" t="s">
        <v>348</v>
      </c>
      <c r="AF198" s="3">
        <v>28</v>
      </c>
      <c r="AG198" s="3" t="s">
        <v>348</v>
      </c>
      <c r="AH198" s="3" t="s">
        <v>348</v>
      </c>
      <c r="AI198" s="3" t="s">
        <v>348</v>
      </c>
      <c r="AJ198" s="3">
        <v>43</v>
      </c>
    </row>
    <row r="199" spans="1:36" s="3" customFormat="1" ht="32.4">
      <c r="A199" s="9">
        <v>196</v>
      </c>
      <c r="B199" s="6" t="s">
        <v>224</v>
      </c>
      <c r="C199" s="13" t="s">
        <v>219</v>
      </c>
      <c r="D199" s="6" t="s">
        <v>220</v>
      </c>
      <c r="E199" s="12" t="s">
        <v>36</v>
      </c>
      <c r="F199" s="7"/>
      <c r="G199" s="21">
        <v>2</v>
      </c>
      <c r="H199" s="21">
        <v>2</v>
      </c>
      <c r="I199" s="21">
        <v>2</v>
      </c>
      <c r="J199" s="27">
        <v>0</v>
      </c>
      <c r="P199" s="30">
        <f t="shared" si="9"/>
        <v>0</v>
      </c>
      <c r="Q199" s="31">
        <f t="shared" si="10"/>
        <v>0</v>
      </c>
      <c r="R199" s="32">
        <f t="shared" si="11"/>
        <v>0</v>
      </c>
      <c r="V199" s="3" t="s">
        <v>348</v>
      </c>
      <c r="W199" s="3" t="s">
        <v>348</v>
      </c>
      <c r="X199" s="3" t="s">
        <v>348</v>
      </c>
      <c r="Y199" s="3" t="s">
        <v>348</v>
      </c>
      <c r="Z199" s="3" t="s">
        <v>348</v>
      </c>
      <c r="AC199" s="3" t="s">
        <v>348</v>
      </c>
      <c r="AF199" s="3" t="s">
        <v>348</v>
      </c>
      <c r="AG199" s="3" t="s">
        <v>348</v>
      </c>
      <c r="AH199" s="3" t="s">
        <v>348</v>
      </c>
      <c r="AI199" s="3" t="s">
        <v>348</v>
      </c>
      <c r="AJ199" s="3" t="s">
        <v>348</v>
      </c>
    </row>
    <row r="200" spans="1:36" s="3" customFormat="1" ht="32.4">
      <c r="A200" s="9">
        <v>197</v>
      </c>
      <c r="B200" s="6" t="s">
        <v>225</v>
      </c>
      <c r="C200" s="13" t="s">
        <v>219</v>
      </c>
      <c r="D200" s="6" t="s">
        <v>220</v>
      </c>
      <c r="E200" s="12" t="s">
        <v>36</v>
      </c>
      <c r="F200" s="7"/>
      <c r="G200" s="21">
        <v>112</v>
      </c>
      <c r="H200" s="21">
        <v>112</v>
      </c>
      <c r="I200" s="21">
        <v>12</v>
      </c>
      <c r="J200" s="39">
        <v>100</v>
      </c>
      <c r="P200" s="30">
        <f t="shared" si="9"/>
        <v>100</v>
      </c>
      <c r="Q200" s="31">
        <f t="shared" si="10"/>
        <v>0</v>
      </c>
      <c r="R200" s="32">
        <f t="shared" si="11"/>
        <v>100</v>
      </c>
      <c r="V200" s="3" t="s">
        <v>348</v>
      </c>
      <c r="W200" s="3" t="s">
        <v>348</v>
      </c>
      <c r="X200" s="3" t="s">
        <v>348</v>
      </c>
      <c r="Y200" s="3" t="s">
        <v>348</v>
      </c>
      <c r="Z200" s="3" t="s">
        <v>348</v>
      </c>
      <c r="AC200" s="3" t="s">
        <v>348</v>
      </c>
      <c r="AF200" s="3" t="s">
        <v>348</v>
      </c>
      <c r="AG200" s="3" t="s">
        <v>348</v>
      </c>
      <c r="AH200" s="3" t="s">
        <v>348</v>
      </c>
      <c r="AI200" s="3" t="s">
        <v>348</v>
      </c>
      <c r="AJ200" s="3">
        <v>100</v>
      </c>
    </row>
    <row r="201" spans="1:36" s="3" customFormat="1" ht="32.4">
      <c r="A201" s="9">
        <v>198</v>
      </c>
      <c r="B201" s="6" t="s">
        <v>226</v>
      </c>
      <c r="C201" s="13" t="s">
        <v>219</v>
      </c>
      <c r="D201" s="6" t="s">
        <v>220</v>
      </c>
      <c r="E201" s="12" t="s">
        <v>36</v>
      </c>
      <c r="F201" s="7"/>
      <c r="G201" s="21">
        <v>15</v>
      </c>
      <c r="H201" s="21">
        <v>15</v>
      </c>
      <c r="I201" s="21">
        <v>2</v>
      </c>
      <c r="J201" s="40">
        <v>13</v>
      </c>
      <c r="P201" s="30">
        <f t="shared" si="9"/>
        <v>13</v>
      </c>
      <c r="Q201" s="31">
        <f t="shared" si="10"/>
        <v>0</v>
      </c>
      <c r="R201" s="32">
        <f t="shared" si="11"/>
        <v>13</v>
      </c>
      <c r="V201" s="3" t="s">
        <v>348</v>
      </c>
      <c r="W201" s="3" t="s">
        <v>348</v>
      </c>
      <c r="X201" s="3" t="s">
        <v>348</v>
      </c>
      <c r="Y201" s="3" t="s">
        <v>348</v>
      </c>
      <c r="Z201" s="3" t="s">
        <v>348</v>
      </c>
      <c r="AC201" s="3" t="s">
        <v>348</v>
      </c>
      <c r="AF201" s="3">
        <v>13</v>
      </c>
      <c r="AG201" s="3" t="s">
        <v>348</v>
      </c>
      <c r="AH201" s="3" t="s">
        <v>348</v>
      </c>
      <c r="AI201" s="3" t="s">
        <v>348</v>
      </c>
      <c r="AJ201" s="3" t="s">
        <v>348</v>
      </c>
    </row>
    <row r="202" spans="1:36" s="3" customFormat="1" ht="32.4">
      <c r="A202" s="9">
        <v>199</v>
      </c>
      <c r="B202" s="6" t="s">
        <v>227</v>
      </c>
      <c r="C202" s="13" t="s">
        <v>219</v>
      </c>
      <c r="D202" s="6" t="s">
        <v>220</v>
      </c>
      <c r="E202" s="12" t="s">
        <v>36</v>
      </c>
      <c r="F202" s="7"/>
      <c r="G202" s="21">
        <v>24</v>
      </c>
      <c r="H202" s="21">
        <v>24</v>
      </c>
      <c r="I202" s="21">
        <v>2</v>
      </c>
      <c r="J202" s="27">
        <v>22</v>
      </c>
      <c r="P202" s="30">
        <f t="shared" si="9"/>
        <v>22</v>
      </c>
      <c r="Q202" s="31">
        <f t="shared" si="10"/>
        <v>0</v>
      </c>
      <c r="R202" s="32">
        <f t="shared" si="11"/>
        <v>22</v>
      </c>
      <c r="V202" s="3" t="s">
        <v>348</v>
      </c>
      <c r="W202" s="3" t="s">
        <v>348</v>
      </c>
      <c r="X202" s="3" t="s">
        <v>348</v>
      </c>
      <c r="Y202" s="3" t="s">
        <v>348</v>
      </c>
      <c r="Z202" s="3" t="s">
        <v>348</v>
      </c>
      <c r="AC202" s="3" t="s">
        <v>348</v>
      </c>
      <c r="AF202" s="3">
        <v>22</v>
      </c>
      <c r="AG202" s="3" t="s">
        <v>348</v>
      </c>
      <c r="AH202" s="3" t="s">
        <v>348</v>
      </c>
      <c r="AI202" s="3" t="s">
        <v>348</v>
      </c>
      <c r="AJ202" s="3" t="s">
        <v>348</v>
      </c>
    </row>
    <row r="203" spans="1:36" s="3" customFormat="1" ht="32.4">
      <c r="A203" s="9">
        <v>200</v>
      </c>
      <c r="B203" s="6" t="s">
        <v>228</v>
      </c>
      <c r="C203" s="13" t="s">
        <v>219</v>
      </c>
      <c r="D203" s="6" t="s">
        <v>220</v>
      </c>
      <c r="E203" s="12" t="s">
        <v>36</v>
      </c>
      <c r="F203" s="7"/>
      <c r="G203" s="21">
        <v>2</v>
      </c>
      <c r="H203" s="21">
        <v>2</v>
      </c>
      <c r="I203" s="21">
        <v>2</v>
      </c>
      <c r="J203" s="27">
        <v>0</v>
      </c>
      <c r="P203" s="30">
        <f t="shared" si="9"/>
        <v>0</v>
      </c>
      <c r="Q203" s="31">
        <f t="shared" si="10"/>
        <v>0</v>
      </c>
      <c r="R203" s="32">
        <f t="shared" si="11"/>
        <v>0</v>
      </c>
      <c r="V203" s="3" t="s">
        <v>348</v>
      </c>
      <c r="W203" s="3" t="s">
        <v>348</v>
      </c>
      <c r="X203" s="3" t="s">
        <v>348</v>
      </c>
      <c r="Y203" s="3" t="s">
        <v>348</v>
      </c>
      <c r="Z203" s="3" t="s">
        <v>348</v>
      </c>
      <c r="AC203" s="3" t="s">
        <v>348</v>
      </c>
      <c r="AF203" s="3" t="s">
        <v>348</v>
      </c>
      <c r="AG203" s="3" t="s">
        <v>348</v>
      </c>
      <c r="AH203" s="3" t="s">
        <v>348</v>
      </c>
      <c r="AI203" s="3" t="s">
        <v>348</v>
      </c>
      <c r="AJ203" s="3" t="s">
        <v>348</v>
      </c>
    </row>
    <row r="204" spans="1:36" s="3" customFormat="1" ht="32.4">
      <c r="A204" s="9">
        <v>201</v>
      </c>
      <c r="B204" s="6" t="s">
        <v>229</v>
      </c>
      <c r="C204" s="13" t="s">
        <v>219</v>
      </c>
      <c r="D204" s="6" t="s">
        <v>220</v>
      </c>
      <c r="E204" s="12" t="s">
        <v>36</v>
      </c>
      <c r="F204" s="7"/>
      <c r="G204" s="21">
        <v>4</v>
      </c>
      <c r="H204" s="21">
        <v>4</v>
      </c>
      <c r="I204" s="21">
        <v>1</v>
      </c>
      <c r="J204" s="27">
        <v>3</v>
      </c>
      <c r="P204" s="30">
        <f t="shared" si="9"/>
        <v>3</v>
      </c>
      <c r="Q204" s="31">
        <f t="shared" si="10"/>
        <v>0</v>
      </c>
      <c r="R204" s="32">
        <f t="shared" si="11"/>
        <v>3</v>
      </c>
      <c r="V204" s="3" t="s">
        <v>348</v>
      </c>
      <c r="W204" s="3" t="s">
        <v>348</v>
      </c>
      <c r="X204" s="3" t="s">
        <v>348</v>
      </c>
      <c r="Y204" s="3" t="s">
        <v>348</v>
      </c>
      <c r="Z204" s="3" t="s">
        <v>348</v>
      </c>
      <c r="AC204" s="3" t="s">
        <v>348</v>
      </c>
      <c r="AF204" s="3">
        <v>3</v>
      </c>
      <c r="AG204" s="3" t="s">
        <v>348</v>
      </c>
      <c r="AH204" s="3" t="s">
        <v>348</v>
      </c>
      <c r="AI204" s="3" t="s">
        <v>348</v>
      </c>
      <c r="AJ204" s="3" t="s">
        <v>348</v>
      </c>
    </row>
    <row r="205" spans="1:36" s="3" customFormat="1" ht="32.4">
      <c r="A205" s="9">
        <v>202</v>
      </c>
      <c r="B205" s="6" t="s">
        <v>222</v>
      </c>
      <c r="C205" s="13" t="s">
        <v>230</v>
      </c>
      <c r="D205" s="6" t="s">
        <v>231</v>
      </c>
      <c r="E205" s="12" t="s">
        <v>36</v>
      </c>
      <c r="F205" s="7"/>
      <c r="G205" s="21">
        <v>45</v>
      </c>
      <c r="H205" s="21">
        <v>45</v>
      </c>
      <c r="I205" s="21"/>
      <c r="J205" s="39">
        <v>45</v>
      </c>
      <c r="P205" s="30">
        <f t="shared" si="9"/>
        <v>45</v>
      </c>
      <c r="Q205" s="31">
        <f t="shared" si="10"/>
        <v>0</v>
      </c>
      <c r="R205" s="32">
        <f t="shared" si="11"/>
        <v>45</v>
      </c>
      <c r="V205" s="3" t="s">
        <v>348</v>
      </c>
      <c r="W205" s="3" t="s">
        <v>348</v>
      </c>
      <c r="X205" s="3" t="s">
        <v>348</v>
      </c>
      <c r="Y205" s="3" t="s">
        <v>348</v>
      </c>
      <c r="Z205" s="3" t="s">
        <v>348</v>
      </c>
      <c r="AC205" s="3" t="s">
        <v>348</v>
      </c>
      <c r="AF205" s="3" t="s">
        <v>348</v>
      </c>
      <c r="AG205" s="3" t="s">
        <v>348</v>
      </c>
      <c r="AH205" s="3" t="s">
        <v>348</v>
      </c>
      <c r="AI205" s="3" t="s">
        <v>348</v>
      </c>
      <c r="AJ205" s="3">
        <v>45</v>
      </c>
    </row>
    <row r="206" spans="1:36" s="3" customFormat="1" ht="32.4">
      <c r="A206" s="9">
        <v>203</v>
      </c>
      <c r="B206" s="6" t="s">
        <v>225</v>
      </c>
      <c r="C206" s="13" t="s">
        <v>230</v>
      </c>
      <c r="D206" s="6" t="s">
        <v>231</v>
      </c>
      <c r="E206" s="12" t="s">
        <v>36</v>
      </c>
      <c r="F206" s="7"/>
      <c r="G206" s="21">
        <v>76</v>
      </c>
      <c r="H206" s="21">
        <v>76</v>
      </c>
      <c r="I206" s="21"/>
      <c r="J206" s="40">
        <v>76</v>
      </c>
      <c r="P206" s="30">
        <f t="shared" si="9"/>
        <v>76</v>
      </c>
      <c r="Q206" s="31">
        <f t="shared" si="10"/>
        <v>0</v>
      </c>
      <c r="R206" s="32">
        <f t="shared" si="11"/>
        <v>76</v>
      </c>
      <c r="V206" s="3" t="s">
        <v>348</v>
      </c>
      <c r="W206" s="3" t="s">
        <v>348</v>
      </c>
      <c r="X206" s="3" t="s">
        <v>348</v>
      </c>
      <c r="Y206" s="3">
        <v>76</v>
      </c>
      <c r="Z206" s="3" t="s">
        <v>348</v>
      </c>
      <c r="AC206" s="3" t="s">
        <v>348</v>
      </c>
      <c r="AF206" s="3" t="s">
        <v>348</v>
      </c>
      <c r="AG206" s="3" t="s">
        <v>348</v>
      </c>
      <c r="AH206" s="3" t="s">
        <v>348</v>
      </c>
      <c r="AI206" s="3" t="s">
        <v>348</v>
      </c>
      <c r="AJ206" s="3" t="s">
        <v>348</v>
      </c>
    </row>
    <row r="207" spans="1:36" s="3" customFormat="1" ht="32.4">
      <c r="A207" s="9">
        <v>204</v>
      </c>
      <c r="B207" s="6" t="s">
        <v>226</v>
      </c>
      <c r="C207" s="13" t="s">
        <v>230</v>
      </c>
      <c r="D207" s="6" t="s">
        <v>231</v>
      </c>
      <c r="E207" s="12" t="s">
        <v>36</v>
      </c>
      <c r="F207" s="7"/>
      <c r="G207" s="21">
        <v>9</v>
      </c>
      <c r="H207" s="21">
        <v>9</v>
      </c>
      <c r="I207" s="21"/>
      <c r="J207" s="39">
        <v>9</v>
      </c>
      <c r="P207" s="30">
        <f t="shared" si="9"/>
        <v>9</v>
      </c>
      <c r="Q207" s="31">
        <f t="shared" si="10"/>
        <v>0</v>
      </c>
      <c r="R207" s="32">
        <f t="shared" si="11"/>
        <v>9</v>
      </c>
      <c r="V207" s="3" t="s">
        <v>348</v>
      </c>
      <c r="W207" s="3" t="s">
        <v>348</v>
      </c>
      <c r="X207" s="3" t="s">
        <v>348</v>
      </c>
      <c r="Y207" s="3">
        <v>9</v>
      </c>
      <c r="Z207" s="3" t="s">
        <v>348</v>
      </c>
      <c r="AC207" s="3" t="s">
        <v>348</v>
      </c>
      <c r="AF207" s="3" t="s">
        <v>348</v>
      </c>
      <c r="AG207" s="3" t="s">
        <v>348</v>
      </c>
      <c r="AH207" s="3" t="s">
        <v>348</v>
      </c>
      <c r="AI207" s="3" t="s">
        <v>348</v>
      </c>
      <c r="AJ207" s="3" t="s">
        <v>348</v>
      </c>
    </row>
    <row r="208" spans="1:36" s="3" customFormat="1" ht="32.4">
      <c r="A208" s="9">
        <v>205</v>
      </c>
      <c r="B208" s="6" t="s">
        <v>227</v>
      </c>
      <c r="C208" s="13" t="s">
        <v>230</v>
      </c>
      <c r="D208" s="6" t="s">
        <v>231</v>
      </c>
      <c r="E208" s="12" t="s">
        <v>36</v>
      </c>
      <c r="F208" s="7"/>
      <c r="G208" s="21">
        <v>31</v>
      </c>
      <c r="H208" s="21">
        <v>31</v>
      </c>
      <c r="I208" s="21"/>
      <c r="J208" s="27">
        <v>31</v>
      </c>
      <c r="P208" s="30">
        <f t="shared" si="9"/>
        <v>31</v>
      </c>
      <c r="Q208" s="31">
        <f t="shared" si="10"/>
        <v>0</v>
      </c>
      <c r="R208" s="32">
        <f t="shared" si="11"/>
        <v>31</v>
      </c>
      <c r="V208" s="3" t="s">
        <v>348</v>
      </c>
      <c r="W208" s="3" t="s">
        <v>348</v>
      </c>
      <c r="X208" s="3" t="s">
        <v>348</v>
      </c>
      <c r="Y208" s="3" t="s">
        <v>348</v>
      </c>
      <c r="Z208" s="3" t="s">
        <v>348</v>
      </c>
      <c r="AC208" s="3" t="s">
        <v>348</v>
      </c>
      <c r="AF208" s="3" t="s">
        <v>348</v>
      </c>
      <c r="AG208" s="3" t="s">
        <v>348</v>
      </c>
      <c r="AH208" s="3" t="s">
        <v>348</v>
      </c>
      <c r="AI208" s="3" t="s">
        <v>348</v>
      </c>
      <c r="AJ208" s="3">
        <v>31</v>
      </c>
    </row>
    <row r="209" spans="1:36" s="3" customFormat="1" ht="32.4">
      <c r="A209" s="9">
        <v>206</v>
      </c>
      <c r="B209" s="6" t="s">
        <v>229</v>
      </c>
      <c r="C209" s="13" t="s">
        <v>230</v>
      </c>
      <c r="D209" s="6" t="s">
        <v>231</v>
      </c>
      <c r="E209" s="12" t="s">
        <v>36</v>
      </c>
      <c r="F209" s="7"/>
      <c r="G209" s="21">
        <v>9</v>
      </c>
      <c r="H209" s="21">
        <v>9</v>
      </c>
      <c r="I209" s="21"/>
      <c r="J209" s="27">
        <v>9</v>
      </c>
      <c r="P209" s="30">
        <f t="shared" si="9"/>
        <v>9</v>
      </c>
      <c r="Q209" s="31">
        <f t="shared" si="10"/>
        <v>0</v>
      </c>
      <c r="R209" s="32">
        <f t="shared" si="11"/>
        <v>9</v>
      </c>
      <c r="V209" s="3" t="s">
        <v>348</v>
      </c>
      <c r="W209" s="3" t="s">
        <v>348</v>
      </c>
      <c r="X209" s="3" t="s">
        <v>348</v>
      </c>
      <c r="Y209" s="3" t="s">
        <v>348</v>
      </c>
      <c r="Z209" s="3" t="s">
        <v>348</v>
      </c>
      <c r="AC209" s="3" t="s">
        <v>348</v>
      </c>
      <c r="AF209" s="3" t="s">
        <v>348</v>
      </c>
      <c r="AG209" s="3" t="s">
        <v>348</v>
      </c>
      <c r="AH209" s="3" t="s">
        <v>348</v>
      </c>
      <c r="AI209" s="3" t="s">
        <v>348</v>
      </c>
      <c r="AJ209" s="3">
        <v>9</v>
      </c>
    </row>
    <row r="210" spans="1:36" s="3" customFormat="1" ht="32.4">
      <c r="A210" s="9">
        <v>207</v>
      </c>
      <c r="B210" s="6" t="s">
        <v>232</v>
      </c>
      <c r="C210" s="13" t="s">
        <v>230</v>
      </c>
      <c r="D210" s="6" t="s">
        <v>231</v>
      </c>
      <c r="E210" s="12" t="s">
        <v>36</v>
      </c>
      <c r="F210" s="7"/>
      <c r="G210" s="21">
        <v>9</v>
      </c>
      <c r="H210" s="21">
        <v>9</v>
      </c>
      <c r="I210" s="21"/>
      <c r="J210" s="40">
        <v>9</v>
      </c>
      <c r="P210" s="30">
        <f t="shared" si="9"/>
        <v>9</v>
      </c>
      <c r="Q210" s="31">
        <f t="shared" si="10"/>
        <v>0</v>
      </c>
      <c r="R210" s="32">
        <f t="shared" si="11"/>
        <v>9</v>
      </c>
      <c r="V210" s="3" t="s">
        <v>348</v>
      </c>
      <c r="W210" s="3" t="s">
        <v>348</v>
      </c>
      <c r="X210" s="3" t="s">
        <v>348</v>
      </c>
      <c r="Y210" s="3" t="s">
        <v>348</v>
      </c>
      <c r="Z210" s="3" t="s">
        <v>348</v>
      </c>
      <c r="AC210" s="3" t="s">
        <v>348</v>
      </c>
      <c r="AF210" s="3" t="s">
        <v>348</v>
      </c>
      <c r="AG210" s="3" t="s">
        <v>348</v>
      </c>
      <c r="AH210" s="3" t="s">
        <v>348</v>
      </c>
      <c r="AI210" s="3" t="s">
        <v>348</v>
      </c>
      <c r="AJ210" s="3">
        <v>9</v>
      </c>
    </row>
    <row r="211" spans="1:36" s="3" customFormat="1" ht="32.4">
      <c r="A211" s="9">
        <v>208</v>
      </c>
      <c r="B211" s="6" t="s">
        <v>232</v>
      </c>
      <c r="C211" s="14" t="s">
        <v>233</v>
      </c>
      <c r="D211" s="6" t="s">
        <v>231</v>
      </c>
      <c r="E211" s="12" t="s">
        <v>36</v>
      </c>
      <c r="F211" s="7" t="s">
        <v>332</v>
      </c>
      <c r="G211" s="21">
        <v>2</v>
      </c>
      <c r="H211" s="21">
        <v>2</v>
      </c>
      <c r="I211" s="21"/>
      <c r="J211" s="27">
        <v>2</v>
      </c>
      <c r="P211" s="30">
        <f t="shared" si="9"/>
        <v>2</v>
      </c>
      <c r="Q211" s="31">
        <f t="shared" si="10"/>
        <v>0</v>
      </c>
      <c r="R211" s="32">
        <f t="shared" si="11"/>
        <v>2</v>
      </c>
      <c r="V211" s="3" t="s">
        <v>348</v>
      </c>
      <c r="W211" s="3" t="s">
        <v>348</v>
      </c>
      <c r="X211" s="3" t="s">
        <v>348</v>
      </c>
      <c r="Y211" s="3" t="s">
        <v>348</v>
      </c>
      <c r="Z211" s="3" t="s">
        <v>348</v>
      </c>
      <c r="AC211" s="3" t="s">
        <v>348</v>
      </c>
      <c r="AF211" s="3">
        <v>2</v>
      </c>
      <c r="AG211" s="3" t="s">
        <v>348</v>
      </c>
      <c r="AH211" s="3" t="s">
        <v>348</v>
      </c>
      <c r="AI211" s="3" t="s">
        <v>348</v>
      </c>
      <c r="AJ211" s="3" t="s">
        <v>348</v>
      </c>
    </row>
    <row r="212" spans="1:36" s="3" customFormat="1" ht="32.4">
      <c r="A212" s="9">
        <v>209</v>
      </c>
      <c r="B212" s="6" t="s">
        <v>235</v>
      </c>
      <c r="C212" s="13" t="s">
        <v>234</v>
      </c>
      <c r="D212" s="6" t="s">
        <v>231</v>
      </c>
      <c r="E212" s="12" t="s">
        <v>36</v>
      </c>
      <c r="F212" s="7"/>
      <c r="G212" s="21">
        <v>9</v>
      </c>
      <c r="H212" s="21">
        <v>9</v>
      </c>
      <c r="I212" s="21"/>
      <c r="J212" s="27">
        <v>9</v>
      </c>
      <c r="P212" s="30">
        <f t="shared" si="9"/>
        <v>9</v>
      </c>
      <c r="Q212" s="31">
        <f t="shared" si="10"/>
        <v>0</v>
      </c>
      <c r="R212" s="32">
        <f t="shared" si="11"/>
        <v>9</v>
      </c>
      <c r="V212" s="3" t="s">
        <v>348</v>
      </c>
      <c r="W212" s="3" t="s">
        <v>348</v>
      </c>
      <c r="X212" s="3" t="s">
        <v>348</v>
      </c>
      <c r="Y212" s="3" t="s">
        <v>348</v>
      </c>
      <c r="Z212" s="3" t="s">
        <v>348</v>
      </c>
      <c r="AC212" s="3" t="s">
        <v>348</v>
      </c>
      <c r="AF212" s="3" t="s">
        <v>348</v>
      </c>
      <c r="AG212" s="3" t="s">
        <v>348</v>
      </c>
      <c r="AH212" s="3" t="s">
        <v>348</v>
      </c>
      <c r="AI212" s="3" t="s">
        <v>348</v>
      </c>
      <c r="AJ212" s="3">
        <v>9</v>
      </c>
    </row>
    <row r="213" spans="1:36" s="3" customFormat="1" ht="32.4">
      <c r="A213" s="9">
        <v>210</v>
      </c>
      <c r="B213" s="6" t="s">
        <v>236</v>
      </c>
      <c r="C213" s="13" t="s">
        <v>234</v>
      </c>
      <c r="D213" s="6" t="s">
        <v>231</v>
      </c>
      <c r="E213" s="12" t="s">
        <v>36</v>
      </c>
      <c r="F213" s="7"/>
      <c r="G213" s="21">
        <v>7</v>
      </c>
      <c r="H213" s="21">
        <v>7</v>
      </c>
      <c r="I213" s="21"/>
      <c r="J213" s="27">
        <v>7</v>
      </c>
      <c r="P213" s="30">
        <f t="shared" si="9"/>
        <v>7</v>
      </c>
      <c r="Q213" s="31">
        <f t="shared" si="10"/>
        <v>0</v>
      </c>
      <c r="R213" s="32">
        <f t="shared" si="11"/>
        <v>7</v>
      </c>
      <c r="V213" s="3" t="s">
        <v>348</v>
      </c>
      <c r="W213" s="3" t="s">
        <v>348</v>
      </c>
      <c r="X213" s="3" t="s">
        <v>348</v>
      </c>
      <c r="Y213" s="3" t="s">
        <v>348</v>
      </c>
      <c r="Z213" s="3" t="s">
        <v>348</v>
      </c>
      <c r="AC213" s="3" t="s">
        <v>348</v>
      </c>
      <c r="AF213" s="3" t="s">
        <v>348</v>
      </c>
      <c r="AG213" s="3" t="s">
        <v>348</v>
      </c>
      <c r="AH213" s="3" t="s">
        <v>348</v>
      </c>
      <c r="AI213" s="3" t="s">
        <v>348</v>
      </c>
      <c r="AJ213" s="3">
        <v>7</v>
      </c>
    </row>
    <row r="214" spans="1:36" s="3" customFormat="1" ht="32.4">
      <c r="A214" s="9">
        <v>211</v>
      </c>
      <c r="B214" s="6" t="s">
        <v>237</v>
      </c>
      <c r="C214" s="13" t="s">
        <v>234</v>
      </c>
      <c r="D214" s="6" t="s">
        <v>231</v>
      </c>
      <c r="E214" s="12" t="s">
        <v>36</v>
      </c>
      <c r="F214" s="7"/>
      <c r="G214" s="21">
        <v>4</v>
      </c>
      <c r="H214" s="21">
        <v>4</v>
      </c>
      <c r="I214" s="21"/>
      <c r="J214" s="27">
        <v>4</v>
      </c>
      <c r="P214" s="30">
        <f t="shared" si="9"/>
        <v>4</v>
      </c>
      <c r="Q214" s="31">
        <f t="shared" si="10"/>
        <v>0</v>
      </c>
      <c r="R214" s="32">
        <f t="shared" si="11"/>
        <v>4</v>
      </c>
      <c r="V214" s="3" t="s">
        <v>348</v>
      </c>
      <c r="W214" s="3" t="s">
        <v>348</v>
      </c>
      <c r="X214" s="3" t="s">
        <v>348</v>
      </c>
      <c r="Y214" s="3" t="s">
        <v>348</v>
      </c>
      <c r="Z214" s="3" t="s">
        <v>348</v>
      </c>
      <c r="AC214" s="3" t="s">
        <v>348</v>
      </c>
      <c r="AF214" s="3" t="s">
        <v>348</v>
      </c>
      <c r="AG214" s="3" t="s">
        <v>348</v>
      </c>
      <c r="AH214" s="3" t="s">
        <v>348</v>
      </c>
      <c r="AI214" s="3" t="s">
        <v>348</v>
      </c>
      <c r="AJ214" s="3">
        <v>4</v>
      </c>
    </row>
    <row r="215" spans="1:36" s="3" customFormat="1" ht="32.4">
      <c r="A215" s="9">
        <v>212</v>
      </c>
      <c r="B215" s="6" t="s">
        <v>241</v>
      </c>
      <c r="C215" s="13" t="s">
        <v>240</v>
      </c>
      <c r="D215" s="6" t="s">
        <v>35</v>
      </c>
      <c r="E215" s="12" t="s">
        <v>36</v>
      </c>
      <c r="F215" s="7"/>
      <c r="G215" s="21">
        <v>6</v>
      </c>
      <c r="H215" s="21">
        <v>6</v>
      </c>
      <c r="I215" s="21"/>
      <c r="J215" s="40">
        <v>6</v>
      </c>
      <c r="P215" s="30">
        <f t="shared" si="9"/>
        <v>6</v>
      </c>
      <c r="Q215" s="31">
        <f t="shared" si="10"/>
        <v>0</v>
      </c>
      <c r="R215" s="32">
        <f t="shared" si="11"/>
        <v>6</v>
      </c>
      <c r="V215" s="3" t="s">
        <v>348</v>
      </c>
      <c r="W215" s="3" t="s">
        <v>348</v>
      </c>
      <c r="X215" s="3" t="s">
        <v>348</v>
      </c>
      <c r="Y215" s="3" t="s">
        <v>348</v>
      </c>
      <c r="Z215" s="3" t="s">
        <v>348</v>
      </c>
      <c r="AC215" s="3" t="s">
        <v>348</v>
      </c>
      <c r="AE215" s="3">
        <v>6</v>
      </c>
      <c r="AF215" s="3" t="s">
        <v>348</v>
      </c>
      <c r="AG215" s="3" t="s">
        <v>348</v>
      </c>
      <c r="AH215" s="3" t="s">
        <v>348</v>
      </c>
      <c r="AI215" s="3" t="s">
        <v>348</v>
      </c>
      <c r="AJ215" s="3" t="s">
        <v>348</v>
      </c>
    </row>
    <row r="216" spans="1:36" s="3" customFormat="1" ht="48.6">
      <c r="A216" s="9">
        <v>213</v>
      </c>
      <c r="B216" s="6" t="s">
        <v>241</v>
      </c>
      <c r="C216" s="14" t="s">
        <v>245</v>
      </c>
      <c r="D216" s="6" t="s">
        <v>35</v>
      </c>
      <c r="E216" s="12" t="s">
        <v>36</v>
      </c>
      <c r="F216" s="7"/>
      <c r="G216" s="21">
        <v>6</v>
      </c>
      <c r="H216" s="21">
        <v>6</v>
      </c>
      <c r="I216" s="21"/>
      <c r="J216" s="40">
        <v>6</v>
      </c>
      <c r="P216" s="30">
        <f t="shared" si="9"/>
        <v>6</v>
      </c>
      <c r="Q216" s="31">
        <f t="shared" si="10"/>
        <v>0</v>
      </c>
      <c r="R216" s="32">
        <f t="shared" si="11"/>
        <v>6</v>
      </c>
      <c r="V216" s="3" t="s">
        <v>348</v>
      </c>
      <c r="W216" s="3" t="s">
        <v>348</v>
      </c>
      <c r="X216" s="3" t="s">
        <v>348</v>
      </c>
      <c r="Y216" s="3" t="s">
        <v>348</v>
      </c>
      <c r="Z216" s="3" t="s">
        <v>348</v>
      </c>
      <c r="AC216" s="3" t="s">
        <v>348</v>
      </c>
      <c r="AE216" s="3">
        <v>6</v>
      </c>
      <c r="AF216" s="3" t="s">
        <v>348</v>
      </c>
      <c r="AG216" s="3" t="s">
        <v>348</v>
      </c>
      <c r="AH216" s="3" t="s">
        <v>348</v>
      </c>
      <c r="AI216" s="3" t="s">
        <v>348</v>
      </c>
      <c r="AJ216" s="3" t="s">
        <v>348</v>
      </c>
    </row>
    <row r="217" spans="1:36" s="3" customFormat="1" ht="32.4">
      <c r="A217" s="9">
        <v>214</v>
      </c>
      <c r="B217" s="6" t="s">
        <v>243</v>
      </c>
      <c r="C217" s="13" t="s">
        <v>238</v>
      </c>
      <c r="D217" s="6" t="s">
        <v>35</v>
      </c>
      <c r="E217" s="12" t="s">
        <v>36</v>
      </c>
      <c r="F217" s="7"/>
      <c r="G217" s="21">
        <v>8</v>
      </c>
      <c r="H217" s="21">
        <v>8</v>
      </c>
      <c r="I217" s="21"/>
      <c r="J217" s="39">
        <v>8</v>
      </c>
      <c r="P217" s="30">
        <f t="shared" si="9"/>
        <v>8</v>
      </c>
      <c r="Q217" s="31">
        <f t="shared" si="10"/>
        <v>2</v>
      </c>
      <c r="R217" s="32">
        <f t="shared" si="11"/>
        <v>10</v>
      </c>
      <c r="V217" s="3" t="s">
        <v>348</v>
      </c>
      <c r="W217" s="3" t="s">
        <v>348</v>
      </c>
      <c r="X217" s="3">
        <v>2</v>
      </c>
      <c r="Y217" s="3" t="s">
        <v>348</v>
      </c>
      <c r="Z217" s="3" t="s">
        <v>348</v>
      </c>
      <c r="AC217" s="3" t="s">
        <v>348</v>
      </c>
      <c r="AE217" s="3">
        <v>8</v>
      </c>
      <c r="AF217" s="3" t="s">
        <v>348</v>
      </c>
      <c r="AG217" s="3" t="s">
        <v>348</v>
      </c>
      <c r="AH217" s="3" t="s">
        <v>348</v>
      </c>
      <c r="AI217" s="3" t="s">
        <v>348</v>
      </c>
      <c r="AJ217" s="3" t="s">
        <v>348</v>
      </c>
    </row>
    <row r="218" spans="1:36" s="3" customFormat="1" ht="48.6">
      <c r="A218" s="9">
        <v>215</v>
      </c>
      <c r="B218" s="6" t="s">
        <v>243</v>
      </c>
      <c r="C218" s="14" t="s">
        <v>245</v>
      </c>
      <c r="D218" s="6" t="s">
        <v>35</v>
      </c>
      <c r="E218" s="12" t="s">
        <v>36</v>
      </c>
      <c r="F218" s="7"/>
      <c r="G218" s="21">
        <v>2</v>
      </c>
      <c r="H218" s="21">
        <v>2</v>
      </c>
      <c r="I218" s="21"/>
      <c r="J218" s="39">
        <v>2</v>
      </c>
      <c r="P218" s="30">
        <f t="shared" si="9"/>
        <v>2</v>
      </c>
      <c r="Q218" s="31">
        <f t="shared" si="10"/>
        <v>0</v>
      </c>
      <c r="R218" s="32">
        <f t="shared" si="11"/>
        <v>2</v>
      </c>
      <c r="V218" s="3" t="s">
        <v>348</v>
      </c>
      <c r="W218" s="3" t="s">
        <v>348</v>
      </c>
      <c r="X218" s="3" t="s">
        <v>348</v>
      </c>
      <c r="Y218" s="3" t="s">
        <v>348</v>
      </c>
      <c r="Z218" s="3" t="s">
        <v>348</v>
      </c>
      <c r="AC218" s="3" t="s">
        <v>348</v>
      </c>
      <c r="AE218" s="3">
        <v>2</v>
      </c>
      <c r="AF218" s="3" t="s">
        <v>348</v>
      </c>
      <c r="AG218" s="3" t="s">
        <v>348</v>
      </c>
      <c r="AH218" s="3" t="s">
        <v>348</v>
      </c>
      <c r="AI218" s="3" t="s">
        <v>348</v>
      </c>
      <c r="AJ218" s="3" t="s">
        <v>348</v>
      </c>
    </row>
    <row r="219" spans="1:36" s="3" customFormat="1" ht="48.6">
      <c r="A219" s="9">
        <v>216</v>
      </c>
      <c r="B219" s="6" t="s">
        <v>244</v>
      </c>
      <c r="C219" s="13" t="s">
        <v>239</v>
      </c>
      <c r="D219" s="6" t="s">
        <v>231</v>
      </c>
      <c r="E219" s="12" t="s">
        <v>36</v>
      </c>
      <c r="F219" s="7"/>
      <c r="G219" s="21">
        <v>3</v>
      </c>
      <c r="H219" s="21">
        <v>3</v>
      </c>
      <c r="I219" s="21"/>
      <c r="J219" s="27">
        <v>3</v>
      </c>
      <c r="P219" s="30">
        <f t="shared" si="9"/>
        <v>3</v>
      </c>
      <c r="Q219" s="31">
        <f t="shared" si="10"/>
        <v>0</v>
      </c>
      <c r="R219" s="32">
        <f t="shared" si="11"/>
        <v>3</v>
      </c>
      <c r="V219" s="3">
        <v>3</v>
      </c>
      <c r="W219" s="3" t="s">
        <v>348</v>
      </c>
      <c r="X219" s="3" t="s">
        <v>348</v>
      </c>
      <c r="Y219" s="3" t="s">
        <v>348</v>
      </c>
      <c r="Z219" s="3" t="s">
        <v>348</v>
      </c>
      <c r="AC219" s="3" t="s">
        <v>348</v>
      </c>
      <c r="AF219" s="3" t="s">
        <v>348</v>
      </c>
      <c r="AG219" s="3" t="s">
        <v>348</v>
      </c>
      <c r="AH219" s="3" t="s">
        <v>348</v>
      </c>
      <c r="AI219" s="3" t="s">
        <v>348</v>
      </c>
      <c r="AJ219" s="3" t="s">
        <v>348</v>
      </c>
    </row>
    <row r="220" spans="1:36" s="3" customFormat="1" ht="32.4">
      <c r="A220" s="9">
        <v>217</v>
      </c>
      <c r="B220" s="6" t="s">
        <v>247</v>
      </c>
      <c r="C220" s="13" t="s">
        <v>246</v>
      </c>
      <c r="D220" s="24" t="s">
        <v>328</v>
      </c>
      <c r="E220" s="12" t="s">
        <v>36</v>
      </c>
      <c r="F220" s="7"/>
      <c r="G220" s="21">
        <v>10</v>
      </c>
      <c r="H220" s="21">
        <v>10</v>
      </c>
      <c r="I220" s="21"/>
      <c r="J220" s="39">
        <v>10</v>
      </c>
      <c r="P220" s="30">
        <f t="shared" si="9"/>
        <v>10</v>
      </c>
      <c r="Q220" s="31">
        <f t="shared" si="10"/>
        <v>0</v>
      </c>
      <c r="R220" s="32">
        <f t="shared" si="11"/>
        <v>10</v>
      </c>
      <c r="V220" s="3" t="s">
        <v>348</v>
      </c>
      <c r="W220" s="3" t="s">
        <v>348</v>
      </c>
      <c r="X220" s="3" t="s">
        <v>348</v>
      </c>
      <c r="Y220" s="3" t="s">
        <v>348</v>
      </c>
      <c r="Z220" s="3" t="s">
        <v>348</v>
      </c>
      <c r="AC220" s="3" t="s">
        <v>348</v>
      </c>
      <c r="AF220" s="3" t="s">
        <v>348</v>
      </c>
      <c r="AG220" s="3" t="s">
        <v>348</v>
      </c>
      <c r="AH220" s="3" t="s">
        <v>348</v>
      </c>
      <c r="AI220" s="3">
        <v>10</v>
      </c>
      <c r="AJ220" s="3" t="s">
        <v>348</v>
      </c>
    </row>
    <row r="221" spans="1:36" s="3" customFormat="1" ht="48.6">
      <c r="A221" s="9">
        <v>218</v>
      </c>
      <c r="B221" s="6" t="s">
        <v>247</v>
      </c>
      <c r="C221" s="14" t="s">
        <v>251</v>
      </c>
      <c r="D221" s="26" t="s">
        <v>330</v>
      </c>
      <c r="E221" s="12" t="s">
        <v>36</v>
      </c>
      <c r="F221" s="7"/>
      <c r="G221" s="21">
        <v>6</v>
      </c>
      <c r="H221" s="21">
        <v>6</v>
      </c>
      <c r="I221" s="21"/>
      <c r="J221" s="27">
        <v>6</v>
      </c>
      <c r="P221" s="30">
        <f t="shared" si="9"/>
        <v>6</v>
      </c>
      <c r="Q221" s="31">
        <f t="shared" si="10"/>
        <v>0</v>
      </c>
      <c r="R221" s="32">
        <f t="shared" si="11"/>
        <v>6</v>
      </c>
      <c r="V221" s="3" t="s">
        <v>348</v>
      </c>
      <c r="W221" s="3" t="s">
        <v>348</v>
      </c>
      <c r="X221" s="3" t="s">
        <v>348</v>
      </c>
      <c r="Y221" s="3" t="s">
        <v>348</v>
      </c>
      <c r="Z221" s="3" t="s">
        <v>348</v>
      </c>
      <c r="AC221" s="3" t="s">
        <v>348</v>
      </c>
      <c r="AF221" s="3" t="s">
        <v>348</v>
      </c>
      <c r="AG221" s="3" t="s">
        <v>348</v>
      </c>
      <c r="AH221" s="3" t="s">
        <v>348</v>
      </c>
      <c r="AI221" s="3">
        <v>6</v>
      </c>
      <c r="AJ221" s="3" t="s">
        <v>348</v>
      </c>
    </row>
    <row r="222" spans="1:36" s="3" customFormat="1" ht="32.4">
      <c r="A222" s="9">
        <v>219</v>
      </c>
      <c r="B222" s="6" t="s">
        <v>248</v>
      </c>
      <c r="C222" s="13" t="s">
        <v>246</v>
      </c>
      <c r="D222" s="24" t="s">
        <v>328</v>
      </c>
      <c r="E222" s="12" t="s">
        <v>36</v>
      </c>
      <c r="F222" s="7"/>
      <c r="G222" s="21">
        <v>3</v>
      </c>
      <c r="H222" s="21">
        <v>3</v>
      </c>
      <c r="I222" s="21"/>
      <c r="J222" s="27">
        <v>3</v>
      </c>
      <c r="P222" s="30">
        <f t="shared" si="9"/>
        <v>3</v>
      </c>
      <c r="Q222" s="31">
        <f t="shared" si="10"/>
        <v>0</v>
      </c>
      <c r="R222" s="32">
        <f t="shared" si="11"/>
        <v>3</v>
      </c>
      <c r="V222" s="3" t="s">
        <v>348</v>
      </c>
      <c r="W222" s="3" t="s">
        <v>348</v>
      </c>
      <c r="X222" s="3" t="s">
        <v>348</v>
      </c>
      <c r="Y222" s="3" t="s">
        <v>348</v>
      </c>
      <c r="Z222" s="3" t="s">
        <v>348</v>
      </c>
      <c r="AC222" s="3" t="s">
        <v>348</v>
      </c>
      <c r="AF222" s="3" t="s">
        <v>348</v>
      </c>
      <c r="AG222" s="3" t="s">
        <v>348</v>
      </c>
      <c r="AH222" s="3" t="s">
        <v>348</v>
      </c>
      <c r="AI222" s="3">
        <v>3</v>
      </c>
      <c r="AJ222" s="3" t="s">
        <v>348</v>
      </c>
    </row>
    <row r="223" spans="1:36" s="3" customFormat="1" ht="32.4">
      <c r="A223" s="9">
        <v>220</v>
      </c>
      <c r="B223" s="6" t="s">
        <v>242</v>
      </c>
      <c r="C223" s="13" t="s">
        <v>246</v>
      </c>
      <c r="D223" s="24" t="s">
        <v>328</v>
      </c>
      <c r="E223" s="12" t="s">
        <v>36</v>
      </c>
      <c r="F223" s="7"/>
      <c r="G223" s="21">
        <v>12</v>
      </c>
      <c r="H223" s="21">
        <v>12</v>
      </c>
      <c r="I223" s="21"/>
      <c r="J223" s="40">
        <v>12</v>
      </c>
      <c r="P223" s="30">
        <f t="shared" si="9"/>
        <v>12</v>
      </c>
      <c r="Q223" s="31">
        <f t="shared" si="10"/>
        <v>0</v>
      </c>
      <c r="R223" s="32">
        <f t="shared" si="11"/>
        <v>12</v>
      </c>
      <c r="V223" s="3" t="s">
        <v>348</v>
      </c>
      <c r="W223" s="3" t="s">
        <v>348</v>
      </c>
      <c r="X223" s="3" t="s">
        <v>348</v>
      </c>
      <c r="Y223" s="3" t="s">
        <v>348</v>
      </c>
      <c r="Z223" s="3" t="s">
        <v>348</v>
      </c>
      <c r="AC223" s="3" t="s">
        <v>348</v>
      </c>
      <c r="AF223" s="3" t="s">
        <v>348</v>
      </c>
      <c r="AG223" s="3" t="s">
        <v>348</v>
      </c>
      <c r="AH223" s="3" t="s">
        <v>348</v>
      </c>
      <c r="AI223" s="3">
        <v>12</v>
      </c>
      <c r="AJ223" s="3" t="s">
        <v>348</v>
      </c>
    </row>
    <row r="224" spans="1:36" s="3" customFormat="1" ht="48.6">
      <c r="A224" s="9">
        <v>221</v>
      </c>
      <c r="B224" s="6" t="s">
        <v>242</v>
      </c>
      <c r="C224" s="14" t="s">
        <v>251</v>
      </c>
      <c r="D224" s="26" t="s">
        <v>330</v>
      </c>
      <c r="E224" s="12" t="s">
        <v>36</v>
      </c>
      <c r="F224" s="7"/>
      <c r="G224" s="21">
        <v>4</v>
      </c>
      <c r="H224" s="21">
        <v>4</v>
      </c>
      <c r="I224" s="21"/>
      <c r="J224" s="39">
        <v>4</v>
      </c>
      <c r="P224" s="30">
        <f t="shared" si="9"/>
        <v>4</v>
      </c>
      <c r="Q224" s="31">
        <f t="shared" si="10"/>
        <v>0</v>
      </c>
      <c r="R224" s="32">
        <f t="shared" si="11"/>
        <v>4</v>
      </c>
      <c r="V224" s="3" t="s">
        <v>348</v>
      </c>
      <c r="W224" s="3" t="s">
        <v>348</v>
      </c>
      <c r="X224" s="3" t="s">
        <v>348</v>
      </c>
      <c r="Y224" s="3" t="s">
        <v>348</v>
      </c>
      <c r="Z224" s="3" t="s">
        <v>348</v>
      </c>
      <c r="AC224" s="3" t="s">
        <v>348</v>
      </c>
      <c r="AF224" s="3" t="s">
        <v>348</v>
      </c>
      <c r="AG224" s="3" t="s">
        <v>348</v>
      </c>
      <c r="AH224" s="3" t="s">
        <v>348</v>
      </c>
      <c r="AI224" s="3">
        <v>4</v>
      </c>
      <c r="AJ224" s="3" t="s">
        <v>348</v>
      </c>
    </row>
    <row r="225" spans="1:36" s="3" customFormat="1" ht="32.4">
      <c r="A225" s="9">
        <v>222</v>
      </c>
      <c r="B225" s="6" t="s">
        <v>249</v>
      </c>
      <c r="C225" s="13" t="s">
        <v>246</v>
      </c>
      <c r="D225" s="24" t="s">
        <v>328</v>
      </c>
      <c r="E225" s="12" t="s">
        <v>36</v>
      </c>
      <c r="F225" s="7"/>
      <c r="G225" s="21">
        <v>1</v>
      </c>
      <c r="H225" s="21">
        <v>1</v>
      </c>
      <c r="I225" s="21"/>
      <c r="J225" s="27">
        <v>1</v>
      </c>
      <c r="P225" s="30">
        <f t="shared" si="9"/>
        <v>1</v>
      </c>
      <c r="Q225" s="31">
        <f t="shared" si="10"/>
        <v>0</v>
      </c>
      <c r="R225" s="32">
        <f t="shared" si="11"/>
        <v>1</v>
      </c>
      <c r="V225" s="3" t="s">
        <v>348</v>
      </c>
      <c r="W225" s="3" t="s">
        <v>348</v>
      </c>
      <c r="X225" s="3" t="s">
        <v>348</v>
      </c>
      <c r="Y225" s="3" t="s">
        <v>348</v>
      </c>
      <c r="Z225" s="3" t="s">
        <v>348</v>
      </c>
      <c r="AC225" s="3" t="s">
        <v>348</v>
      </c>
      <c r="AF225" s="3" t="s">
        <v>348</v>
      </c>
      <c r="AG225" s="3" t="s">
        <v>348</v>
      </c>
      <c r="AH225" s="3" t="s">
        <v>348</v>
      </c>
      <c r="AI225" s="3">
        <v>1</v>
      </c>
      <c r="AJ225" s="3" t="s">
        <v>348</v>
      </c>
    </row>
    <row r="226" spans="1:36" s="3" customFormat="1" ht="32.4">
      <c r="A226" s="9">
        <v>223</v>
      </c>
      <c r="B226" s="6" t="s">
        <v>250</v>
      </c>
      <c r="C226" s="13" t="s">
        <v>326</v>
      </c>
      <c r="D226" s="24" t="s">
        <v>328</v>
      </c>
      <c r="E226" s="12" t="s">
        <v>36</v>
      </c>
      <c r="F226" s="7"/>
      <c r="G226" s="21">
        <v>2</v>
      </c>
      <c r="H226" s="21">
        <v>2</v>
      </c>
      <c r="I226" s="21"/>
      <c r="J226" s="27">
        <v>2</v>
      </c>
      <c r="P226" s="30">
        <f t="shared" si="9"/>
        <v>2</v>
      </c>
      <c r="Q226" s="31">
        <f t="shared" si="10"/>
        <v>0</v>
      </c>
      <c r="R226" s="32">
        <f t="shared" si="11"/>
        <v>2</v>
      </c>
      <c r="V226" s="3" t="s">
        <v>348</v>
      </c>
      <c r="W226" s="3" t="s">
        <v>348</v>
      </c>
      <c r="X226" s="3" t="s">
        <v>348</v>
      </c>
      <c r="Y226" s="3" t="s">
        <v>348</v>
      </c>
      <c r="Z226" s="3" t="s">
        <v>348</v>
      </c>
      <c r="AC226" s="3" t="s">
        <v>348</v>
      </c>
      <c r="AF226" s="3" t="s">
        <v>348</v>
      </c>
      <c r="AG226" s="3" t="s">
        <v>348</v>
      </c>
      <c r="AH226" s="3" t="s">
        <v>348</v>
      </c>
      <c r="AI226" s="3">
        <v>2</v>
      </c>
      <c r="AJ226" s="3" t="s">
        <v>348</v>
      </c>
    </row>
    <row r="227" spans="1:36" s="3" customFormat="1" ht="48.6">
      <c r="A227" s="9">
        <v>224</v>
      </c>
      <c r="B227" s="6" t="s">
        <v>252</v>
      </c>
      <c r="C227" s="13" t="s">
        <v>253</v>
      </c>
      <c r="D227" s="6" t="s">
        <v>231</v>
      </c>
      <c r="E227" s="12" t="s">
        <v>36</v>
      </c>
      <c r="F227" s="7"/>
      <c r="G227" s="21">
        <v>2</v>
      </c>
      <c r="H227" s="21">
        <v>2</v>
      </c>
      <c r="I227" s="21"/>
      <c r="J227" s="27">
        <v>2</v>
      </c>
      <c r="P227" s="30">
        <f t="shared" si="9"/>
        <v>2</v>
      </c>
      <c r="Q227" s="31">
        <f t="shared" si="10"/>
        <v>0</v>
      </c>
      <c r="R227" s="32">
        <f t="shared" si="11"/>
        <v>2</v>
      </c>
      <c r="V227" s="3" t="s">
        <v>348</v>
      </c>
      <c r="W227" s="3" t="s">
        <v>348</v>
      </c>
      <c r="X227" s="3">
        <v>2</v>
      </c>
      <c r="Y227" s="3" t="s">
        <v>348</v>
      </c>
      <c r="Z227" s="3" t="s">
        <v>348</v>
      </c>
      <c r="AC227" s="3" t="s">
        <v>348</v>
      </c>
      <c r="AF227" s="3" t="s">
        <v>348</v>
      </c>
      <c r="AG227" s="3" t="s">
        <v>348</v>
      </c>
      <c r="AH227" s="3" t="s">
        <v>348</v>
      </c>
      <c r="AI227" s="3" t="s">
        <v>348</v>
      </c>
      <c r="AJ227" s="3" t="s">
        <v>348</v>
      </c>
    </row>
    <row r="228" spans="1:36" s="3" customFormat="1" ht="48.6">
      <c r="A228" s="9">
        <v>225</v>
      </c>
      <c r="B228" s="6" t="s">
        <v>254</v>
      </c>
      <c r="C228" s="13" t="s">
        <v>253</v>
      </c>
      <c r="D228" s="6" t="s">
        <v>231</v>
      </c>
      <c r="E228" s="12" t="s">
        <v>36</v>
      </c>
      <c r="F228" s="7"/>
      <c r="G228" s="21">
        <v>2</v>
      </c>
      <c r="H228" s="21">
        <v>2</v>
      </c>
      <c r="I228" s="21"/>
      <c r="J228" s="27">
        <v>2</v>
      </c>
      <c r="P228" s="30">
        <f t="shared" si="9"/>
        <v>2</v>
      </c>
      <c r="Q228" s="31">
        <f t="shared" si="10"/>
        <v>0</v>
      </c>
      <c r="R228" s="32">
        <f t="shared" si="11"/>
        <v>2</v>
      </c>
      <c r="V228" s="3" t="s">
        <v>348</v>
      </c>
      <c r="W228" s="3" t="s">
        <v>348</v>
      </c>
      <c r="X228" s="3">
        <v>2</v>
      </c>
      <c r="Y228" s="3" t="s">
        <v>348</v>
      </c>
      <c r="Z228" s="3" t="s">
        <v>348</v>
      </c>
      <c r="AC228" s="3" t="s">
        <v>348</v>
      </c>
      <c r="AF228" s="3" t="s">
        <v>348</v>
      </c>
      <c r="AG228" s="3" t="s">
        <v>348</v>
      </c>
      <c r="AH228" s="3" t="s">
        <v>348</v>
      </c>
      <c r="AI228" s="3" t="s">
        <v>348</v>
      </c>
      <c r="AJ228" s="3" t="s">
        <v>348</v>
      </c>
    </row>
    <row r="229" spans="1:36" s="3" customFormat="1" ht="32.4">
      <c r="A229" s="9">
        <v>226</v>
      </c>
      <c r="B229" s="6" t="s">
        <v>258</v>
      </c>
      <c r="C229" s="13" t="s">
        <v>257</v>
      </c>
      <c r="D229" s="6" t="s">
        <v>35</v>
      </c>
      <c r="E229" s="12" t="s">
        <v>36</v>
      </c>
      <c r="F229" s="7"/>
      <c r="G229" s="21">
        <v>1</v>
      </c>
      <c r="H229" s="21">
        <v>1</v>
      </c>
      <c r="I229" s="21"/>
      <c r="J229" s="27">
        <v>1</v>
      </c>
      <c r="P229" s="30">
        <f t="shared" si="9"/>
        <v>1</v>
      </c>
      <c r="Q229" s="31">
        <f t="shared" si="10"/>
        <v>0</v>
      </c>
      <c r="R229" s="32">
        <f t="shared" si="11"/>
        <v>1</v>
      </c>
      <c r="V229" s="3" t="s">
        <v>348</v>
      </c>
      <c r="W229" s="3" t="s">
        <v>348</v>
      </c>
      <c r="X229" s="3" t="s">
        <v>348</v>
      </c>
      <c r="Y229" s="3" t="s">
        <v>348</v>
      </c>
      <c r="Z229" s="3" t="s">
        <v>348</v>
      </c>
      <c r="AC229" s="3" t="s">
        <v>348</v>
      </c>
      <c r="AE229" s="3">
        <v>1</v>
      </c>
      <c r="AF229" s="3" t="s">
        <v>348</v>
      </c>
      <c r="AG229" s="3" t="s">
        <v>348</v>
      </c>
      <c r="AH229" s="3" t="s">
        <v>348</v>
      </c>
      <c r="AI229" s="3" t="s">
        <v>348</v>
      </c>
      <c r="AJ229" s="3" t="s">
        <v>348</v>
      </c>
    </row>
    <row r="230" spans="1:36" s="3" customFormat="1" ht="32.4">
      <c r="A230" s="9">
        <v>227</v>
      </c>
      <c r="B230" s="6" t="s">
        <v>355</v>
      </c>
      <c r="C230" s="13" t="s">
        <v>255</v>
      </c>
      <c r="D230" s="6" t="s">
        <v>35</v>
      </c>
      <c r="E230" s="12" t="s">
        <v>36</v>
      </c>
      <c r="F230" s="7"/>
      <c r="G230" s="21">
        <v>27</v>
      </c>
      <c r="H230" s="21">
        <v>27</v>
      </c>
      <c r="I230" s="21"/>
      <c r="J230" s="27">
        <v>27</v>
      </c>
      <c r="P230" s="30">
        <f t="shared" si="9"/>
        <v>27</v>
      </c>
      <c r="Q230" s="31">
        <f t="shared" si="10"/>
        <v>0</v>
      </c>
      <c r="R230" s="32">
        <f t="shared" si="11"/>
        <v>27</v>
      </c>
      <c r="V230" s="3" t="s">
        <v>348</v>
      </c>
      <c r="W230" s="3" t="s">
        <v>348</v>
      </c>
      <c r="X230" s="3" t="s">
        <v>348</v>
      </c>
      <c r="Y230" s="3" t="s">
        <v>348</v>
      </c>
      <c r="Z230" s="3" t="s">
        <v>348</v>
      </c>
      <c r="AC230" s="3" t="s">
        <v>348</v>
      </c>
      <c r="AE230" s="3">
        <v>27</v>
      </c>
      <c r="AF230" s="3" t="s">
        <v>348</v>
      </c>
      <c r="AG230" s="3" t="s">
        <v>348</v>
      </c>
      <c r="AH230" s="3" t="s">
        <v>348</v>
      </c>
      <c r="AI230" s="3" t="s">
        <v>348</v>
      </c>
      <c r="AJ230" s="3" t="s">
        <v>348</v>
      </c>
    </row>
    <row r="231" spans="1:36" s="3" customFormat="1" ht="32.4">
      <c r="A231" s="9">
        <v>228</v>
      </c>
      <c r="B231" s="6" t="s">
        <v>357</v>
      </c>
      <c r="C231" s="13" t="s">
        <v>255</v>
      </c>
      <c r="D231" s="6" t="s">
        <v>35</v>
      </c>
      <c r="E231" s="12" t="s">
        <v>36</v>
      </c>
      <c r="F231" s="7"/>
      <c r="G231" s="21">
        <v>1</v>
      </c>
      <c r="H231" s="21">
        <v>1</v>
      </c>
      <c r="I231" s="21"/>
      <c r="J231" s="27">
        <v>1</v>
      </c>
      <c r="P231" s="30">
        <f t="shared" si="9"/>
        <v>1</v>
      </c>
      <c r="Q231" s="31">
        <f t="shared" si="10"/>
        <v>3</v>
      </c>
      <c r="R231" s="32">
        <f t="shared" si="11"/>
        <v>4</v>
      </c>
      <c r="V231" s="3">
        <v>4</v>
      </c>
      <c r="W231" s="3" t="s">
        <v>348</v>
      </c>
      <c r="X231" s="3" t="s">
        <v>348</v>
      </c>
      <c r="Y231" s="3" t="s">
        <v>348</v>
      </c>
      <c r="Z231" s="3" t="s">
        <v>348</v>
      </c>
      <c r="AC231" s="3" t="s">
        <v>348</v>
      </c>
      <c r="AF231" s="3" t="s">
        <v>348</v>
      </c>
      <c r="AG231" s="3" t="s">
        <v>348</v>
      </c>
      <c r="AH231" s="3" t="s">
        <v>348</v>
      </c>
      <c r="AI231" s="3" t="s">
        <v>348</v>
      </c>
      <c r="AJ231" s="3" t="s">
        <v>348</v>
      </c>
    </row>
    <row r="232" spans="1:36" s="3" customFormat="1" ht="32.4">
      <c r="A232" s="9">
        <v>229</v>
      </c>
      <c r="B232" s="6" t="s">
        <v>378</v>
      </c>
      <c r="C232" s="13" t="s">
        <v>256</v>
      </c>
      <c r="D232" s="6" t="s">
        <v>231</v>
      </c>
      <c r="E232" s="12" t="s">
        <v>36</v>
      </c>
      <c r="F232" s="7"/>
      <c r="G232" s="21">
        <v>4</v>
      </c>
      <c r="H232" s="21">
        <v>4</v>
      </c>
      <c r="I232" s="21"/>
      <c r="J232" s="27">
        <v>4</v>
      </c>
      <c r="P232" s="30">
        <f t="shared" si="9"/>
        <v>4</v>
      </c>
      <c r="Q232" s="31">
        <f t="shared" si="10"/>
        <v>0</v>
      </c>
      <c r="R232" s="32">
        <f t="shared" si="11"/>
        <v>4</v>
      </c>
      <c r="W232" s="3" t="s">
        <v>348</v>
      </c>
      <c r="X232" s="3" t="s">
        <v>348</v>
      </c>
      <c r="Y232" s="3" t="s">
        <v>348</v>
      </c>
      <c r="Z232" s="3">
        <v>4</v>
      </c>
      <c r="AC232" s="3" t="s">
        <v>348</v>
      </c>
      <c r="AF232" s="3" t="s">
        <v>348</v>
      </c>
      <c r="AG232" s="3" t="s">
        <v>348</v>
      </c>
      <c r="AH232" s="3" t="s">
        <v>348</v>
      </c>
      <c r="AI232" s="3" t="s">
        <v>348</v>
      </c>
      <c r="AJ232" s="3" t="s">
        <v>348</v>
      </c>
    </row>
    <row r="233" spans="1:36" s="3" customFormat="1" ht="32.4">
      <c r="A233" s="9">
        <v>230</v>
      </c>
      <c r="B233" s="6" t="s">
        <v>261</v>
      </c>
      <c r="C233" s="13" t="s">
        <v>256</v>
      </c>
      <c r="D233" s="6" t="s">
        <v>231</v>
      </c>
      <c r="E233" s="12" t="s">
        <v>36</v>
      </c>
      <c r="F233" s="7"/>
      <c r="G233" s="21">
        <v>1</v>
      </c>
      <c r="H233" s="21">
        <v>1</v>
      </c>
      <c r="I233" s="21"/>
      <c r="J233" s="40">
        <v>1</v>
      </c>
      <c r="P233" s="30">
        <f t="shared" si="9"/>
        <v>1</v>
      </c>
      <c r="Q233" s="31">
        <f t="shared" si="10"/>
        <v>2</v>
      </c>
      <c r="R233" s="32">
        <f t="shared" si="11"/>
        <v>3</v>
      </c>
      <c r="V233" s="3">
        <v>3</v>
      </c>
      <c r="W233" s="3" t="s">
        <v>348</v>
      </c>
      <c r="X233" s="3" t="s">
        <v>348</v>
      </c>
      <c r="Y233" s="3" t="s">
        <v>348</v>
      </c>
      <c r="Z233" s="3" t="s">
        <v>348</v>
      </c>
      <c r="AC233" s="3" t="s">
        <v>348</v>
      </c>
      <c r="AF233" s="3" t="s">
        <v>348</v>
      </c>
      <c r="AG233" s="3" t="s">
        <v>348</v>
      </c>
      <c r="AH233" s="3" t="s">
        <v>348</v>
      </c>
      <c r="AI233" s="3" t="s">
        <v>348</v>
      </c>
      <c r="AJ233" s="3" t="s">
        <v>348</v>
      </c>
    </row>
    <row r="234" spans="1:36" s="3" customFormat="1" ht="32.4">
      <c r="A234" s="9">
        <v>231</v>
      </c>
      <c r="B234" s="6" t="s">
        <v>259</v>
      </c>
      <c r="C234" s="13" t="s">
        <v>327</v>
      </c>
      <c r="D234" s="24" t="s">
        <v>328</v>
      </c>
      <c r="E234" s="12" t="s">
        <v>36</v>
      </c>
      <c r="F234" s="7"/>
      <c r="G234" s="21">
        <v>11</v>
      </c>
      <c r="H234" s="21">
        <v>11</v>
      </c>
      <c r="I234" s="23">
        <v>2</v>
      </c>
      <c r="J234" s="40">
        <v>9</v>
      </c>
      <c r="P234" s="30">
        <f t="shared" si="9"/>
        <v>9</v>
      </c>
      <c r="Q234" s="31">
        <f t="shared" si="10"/>
        <v>0</v>
      </c>
      <c r="R234" s="32">
        <f t="shared" si="11"/>
        <v>9</v>
      </c>
      <c r="V234" s="3" t="s">
        <v>348</v>
      </c>
      <c r="W234" s="3" t="s">
        <v>348</v>
      </c>
      <c r="X234" s="3" t="s">
        <v>348</v>
      </c>
      <c r="Y234" s="3" t="s">
        <v>348</v>
      </c>
      <c r="Z234" s="3" t="s">
        <v>348</v>
      </c>
      <c r="AC234" s="3" t="s">
        <v>348</v>
      </c>
      <c r="AF234" s="3" t="s">
        <v>348</v>
      </c>
      <c r="AG234" s="3" t="s">
        <v>348</v>
      </c>
      <c r="AH234" s="3" t="s">
        <v>348</v>
      </c>
      <c r="AI234" s="3">
        <v>9</v>
      </c>
      <c r="AJ234" s="3" t="s">
        <v>348</v>
      </c>
    </row>
    <row r="235" spans="1:36" s="3" customFormat="1" ht="32.4">
      <c r="A235" s="9">
        <v>232</v>
      </c>
      <c r="B235" s="6" t="s">
        <v>263</v>
      </c>
      <c r="C235" s="13" t="s">
        <v>262</v>
      </c>
      <c r="D235" s="6" t="s">
        <v>220</v>
      </c>
      <c r="E235" s="12" t="s">
        <v>36</v>
      </c>
      <c r="F235" s="7"/>
      <c r="G235" s="21">
        <v>2</v>
      </c>
      <c r="H235" s="21">
        <v>2</v>
      </c>
      <c r="I235" s="21"/>
      <c r="J235" s="27">
        <v>2</v>
      </c>
      <c r="P235" s="30">
        <f t="shared" si="9"/>
        <v>2</v>
      </c>
      <c r="Q235" s="31">
        <f t="shared" si="10"/>
        <v>0</v>
      </c>
      <c r="R235" s="32">
        <f t="shared" si="11"/>
        <v>2</v>
      </c>
      <c r="V235" s="3" t="s">
        <v>348</v>
      </c>
      <c r="W235" s="3" t="s">
        <v>348</v>
      </c>
      <c r="X235" s="3" t="s">
        <v>348</v>
      </c>
      <c r="Y235" s="3" t="s">
        <v>348</v>
      </c>
      <c r="Z235" s="3" t="s">
        <v>348</v>
      </c>
      <c r="AC235" s="3" t="s">
        <v>348</v>
      </c>
      <c r="AF235" s="3" t="s">
        <v>348</v>
      </c>
      <c r="AG235" s="3" t="s">
        <v>348</v>
      </c>
      <c r="AH235" s="3" t="s">
        <v>348</v>
      </c>
      <c r="AI235" s="3">
        <v>2</v>
      </c>
      <c r="AJ235" s="3" t="s">
        <v>348</v>
      </c>
    </row>
    <row r="236" spans="1:36" s="3" customFormat="1" ht="48.6">
      <c r="A236" s="9">
        <v>233</v>
      </c>
      <c r="B236" s="6" t="s">
        <v>266</v>
      </c>
      <c r="C236" s="14" t="s">
        <v>265</v>
      </c>
      <c r="D236" s="25" t="s">
        <v>329</v>
      </c>
      <c r="E236" s="12" t="s">
        <v>36</v>
      </c>
      <c r="F236" s="7"/>
      <c r="G236" s="21">
        <v>1</v>
      </c>
      <c r="H236" s="21">
        <v>1</v>
      </c>
      <c r="I236" s="21"/>
      <c r="J236" s="27">
        <v>1</v>
      </c>
      <c r="P236" s="30">
        <f t="shared" si="9"/>
        <v>1</v>
      </c>
      <c r="Q236" s="31">
        <f t="shared" si="10"/>
        <v>0</v>
      </c>
      <c r="R236" s="32">
        <f t="shared" si="11"/>
        <v>1</v>
      </c>
      <c r="V236" s="3" t="s">
        <v>348</v>
      </c>
      <c r="W236" s="3" t="s">
        <v>348</v>
      </c>
      <c r="X236" s="3" t="s">
        <v>348</v>
      </c>
      <c r="Y236" s="3" t="s">
        <v>348</v>
      </c>
      <c r="Z236" s="3" t="s">
        <v>348</v>
      </c>
      <c r="AC236" s="3" t="s">
        <v>348</v>
      </c>
      <c r="AF236" s="3" t="s">
        <v>348</v>
      </c>
      <c r="AG236" s="3" t="s">
        <v>348</v>
      </c>
      <c r="AH236" s="3" t="s">
        <v>348</v>
      </c>
      <c r="AI236" s="3" t="s">
        <v>348</v>
      </c>
      <c r="AJ236" s="3">
        <v>1</v>
      </c>
    </row>
    <row r="237" spans="1:36" s="3" customFormat="1" ht="48.6">
      <c r="A237" s="9">
        <v>234</v>
      </c>
      <c r="B237" s="6" t="s">
        <v>267</v>
      </c>
      <c r="C237" s="14" t="s">
        <v>264</v>
      </c>
      <c r="D237" s="25" t="s">
        <v>329</v>
      </c>
      <c r="E237" s="12" t="s">
        <v>36</v>
      </c>
      <c r="F237" s="7"/>
      <c r="G237" s="21">
        <v>1</v>
      </c>
      <c r="H237" s="21">
        <v>1</v>
      </c>
      <c r="I237" s="21"/>
      <c r="J237" s="27">
        <v>1</v>
      </c>
      <c r="P237" s="30">
        <f t="shared" si="9"/>
        <v>1</v>
      </c>
      <c r="Q237" s="31">
        <f t="shared" si="10"/>
        <v>0</v>
      </c>
      <c r="R237" s="32">
        <f t="shared" si="11"/>
        <v>1</v>
      </c>
      <c r="V237" s="3" t="s">
        <v>348</v>
      </c>
      <c r="W237" s="3" t="s">
        <v>348</v>
      </c>
      <c r="X237" s="3" t="s">
        <v>348</v>
      </c>
      <c r="Y237" s="3" t="s">
        <v>348</v>
      </c>
      <c r="Z237" s="3" t="s">
        <v>348</v>
      </c>
      <c r="AC237" s="3" t="s">
        <v>348</v>
      </c>
      <c r="AF237" s="3">
        <v>1</v>
      </c>
      <c r="AG237" s="3" t="s">
        <v>348</v>
      </c>
      <c r="AH237" s="3" t="s">
        <v>348</v>
      </c>
      <c r="AI237" s="3" t="s">
        <v>348</v>
      </c>
      <c r="AJ237" s="3" t="s">
        <v>348</v>
      </c>
    </row>
    <row r="238" spans="1:36" s="3" customFormat="1" ht="48.6">
      <c r="A238" s="9">
        <v>235</v>
      </c>
      <c r="B238" s="6" t="s">
        <v>268</v>
      </c>
      <c r="C238" s="14" t="s">
        <v>264</v>
      </c>
      <c r="D238" s="25" t="s">
        <v>329</v>
      </c>
      <c r="E238" s="12" t="s">
        <v>36</v>
      </c>
      <c r="F238" s="7"/>
      <c r="G238" s="21">
        <v>2</v>
      </c>
      <c r="H238" s="21">
        <v>2</v>
      </c>
      <c r="I238" s="21"/>
      <c r="J238" s="27">
        <v>2</v>
      </c>
      <c r="P238" s="30">
        <f t="shared" si="9"/>
        <v>2</v>
      </c>
      <c r="Q238" s="31">
        <f t="shared" si="10"/>
        <v>0</v>
      </c>
      <c r="R238" s="32">
        <f t="shared" si="11"/>
        <v>2</v>
      </c>
      <c r="V238" s="3" t="s">
        <v>348</v>
      </c>
      <c r="W238" s="3" t="s">
        <v>348</v>
      </c>
      <c r="X238" s="3" t="s">
        <v>348</v>
      </c>
      <c r="Y238" s="3" t="s">
        <v>348</v>
      </c>
      <c r="Z238" s="3" t="s">
        <v>348</v>
      </c>
      <c r="AC238" s="3" t="s">
        <v>348</v>
      </c>
      <c r="AF238" s="3">
        <v>2</v>
      </c>
      <c r="AG238" s="3" t="s">
        <v>348</v>
      </c>
      <c r="AH238" s="3" t="s">
        <v>348</v>
      </c>
      <c r="AI238" s="3" t="s">
        <v>348</v>
      </c>
      <c r="AJ238" s="3" t="s">
        <v>348</v>
      </c>
    </row>
    <row r="239" spans="1:36" s="3" customFormat="1">
      <c r="A239" s="9">
        <v>236</v>
      </c>
      <c r="B239" s="6" t="s">
        <v>269</v>
      </c>
      <c r="C239" s="14" t="s">
        <v>270</v>
      </c>
      <c r="D239" s="6" t="s">
        <v>271</v>
      </c>
      <c r="E239" s="12" t="s">
        <v>36</v>
      </c>
      <c r="F239" s="7"/>
      <c r="G239" s="21">
        <v>0</v>
      </c>
      <c r="H239" s="21">
        <v>0</v>
      </c>
      <c r="I239" s="21"/>
      <c r="J239" s="40">
        <v>0</v>
      </c>
      <c r="P239" s="30">
        <f t="shared" si="9"/>
        <v>0</v>
      </c>
      <c r="Q239" s="31">
        <f t="shared" si="10"/>
        <v>0</v>
      </c>
      <c r="R239" s="32">
        <f t="shared" si="11"/>
        <v>0</v>
      </c>
      <c r="V239" s="3" t="s">
        <v>348</v>
      </c>
      <c r="W239" s="3" t="s">
        <v>348</v>
      </c>
      <c r="X239" s="3" t="s">
        <v>348</v>
      </c>
      <c r="Y239" s="3" t="s">
        <v>348</v>
      </c>
      <c r="Z239" s="3" t="s">
        <v>348</v>
      </c>
      <c r="AC239" s="3" t="s">
        <v>348</v>
      </c>
      <c r="AF239" s="3" t="s">
        <v>348</v>
      </c>
      <c r="AG239" s="3" t="s">
        <v>348</v>
      </c>
      <c r="AH239" s="3" t="s">
        <v>348</v>
      </c>
      <c r="AI239" s="3" t="s">
        <v>348</v>
      </c>
      <c r="AJ239" s="3" t="s">
        <v>348</v>
      </c>
    </row>
    <row r="240" spans="1:36" s="3" customFormat="1">
      <c r="A240" s="9">
        <v>237</v>
      </c>
      <c r="B240" s="6" t="s">
        <v>269</v>
      </c>
      <c r="C240" s="14" t="s">
        <v>272</v>
      </c>
      <c r="D240" s="6" t="s">
        <v>271</v>
      </c>
      <c r="E240" s="12" t="s">
        <v>36</v>
      </c>
      <c r="F240" s="7"/>
      <c r="G240" s="21">
        <v>2</v>
      </c>
      <c r="H240" s="21">
        <v>2</v>
      </c>
      <c r="I240" s="21"/>
      <c r="J240" s="27">
        <v>2</v>
      </c>
      <c r="P240" s="30">
        <f t="shared" si="9"/>
        <v>2</v>
      </c>
      <c r="Q240" s="31">
        <f t="shared" si="10"/>
        <v>0</v>
      </c>
      <c r="R240" s="32">
        <f t="shared" si="11"/>
        <v>2</v>
      </c>
      <c r="V240" s="3" t="s">
        <v>348</v>
      </c>
      <c r="W240" s="3" t="s">
        <v>348</v>
      </c>
      <c r="X240" s="3" t="s">
        <v>348</v>
      </c>
      <c r="Y240" s="3" t="s">
        <v>348</v>
      </c>
      <c r="Z240" s="3" t="s">
        <v>348</v>
      </c>
      <c r="AC240" s="3" t="s">
        <v>348</v>
      </c>
      <c r="AF240" s="3" t="s">
        <v>348</v>
      </c>
      <c r="AG240" s="3" t="s">
        <v>348</v>
      </c>
      <c r="AH240" s="3" t="s">
        <v>348</v>
      </c>
      <c r="AI240" s="3">
        <v>2</v>
      </c>
      <c r="AJ240" s="3" t="s">
        <v>348</v>
      </c>
    </row>
    <row r="241" spans="1:36" s="3" customFormat="1">
      <c r="A241" s="9">
        <v>238</v>
      </c>
      <c r="B241" s="6" t="s">
        <v>269</v>
      </c>
      <c r="C241" s="14" t="s">
        <v>273</v>
      </c>
      <c r="D241" s="6" t="s">
        <v>271</v>
      </c>
      <c r="E241" s="12" t="s">
        <v>36</v>
      </c>
      <c r="F241" s="7"/>
      <c r="G241" s="21">
        <v>0</v>
      </c>
      <c r="H241" s="21">
        <v>0</v>
      </c>
      <c r="I241" s="21"/>
      <c r="J241" s="40">
        <v>0</v>
      </c>
      <c r="P241" s="30">
        <f t="shared" si="9"/>
        <v>0</v>
      </c>
      <c r="Q241" s="31">
        <f t="shared" si="10"/>
        <v>0</v>
      </c>
      <c r="R241" s="32">
        <f t="shared" si="11"/>
        <v>0</v>
      </c>
      <c r="V241" s="3" t="s">
        <v>348</v>
      </c>
      <c r="W241" s="3" t="s">
        <v>348</v>
      </c>
      <c r="X241" s="3" t="s">
        <v>348</v>
      </c>
      <c r="Y241" s="3" t="s">
        <v>348</v>
      </c>
      <c r="Z241" s="3" t="s">
        <v>348</v>
      </c>
      <c r="AC241" s="3" t="s">
        <v>348</v>
      </c>
      <c r="AF241" s="3" t="s">
        <v>348</v>
      </c>
      <c r="AG241" s="3" t="s">
        <v>348</v>
      </c>
      <c r="AH241" s="3" t="s">
        <v>348</v>
      </c>
      <c r="AI241" s="3" t="s">
        <v>348</v>
      </c>
      <c r="AJ241" s="3" t="s">
        <v>348</v>
      </c>
    </row>
    <row r="242" spans="1:36" s="3" customFormat="1">
      <c r="A242" s="9">
        <v>239</v>
      </c>
      <c r="B242" s="6" t="s">
        <v>269</v>
      </c>
      <c r="C242" s="14" t="s">
        <v>274</v>
      </c>
      <c r="D242" s="6" t="s">
        <v>275</v>
      </c>
      <c r="E242" s="12" t="s">
        <v>36</v>
      </c>
      <c r="F242" s="7"/>
      <c r="G242" s="21">
        <v>4</v>
      </c>
      <c r="H242" s="21">
        <v>4</v>
      </c>
      <c r="I242" s="21"/>
      <c r="J242" s="39">
        <v>4</v>
      </c>
      <c r="P242" s="30">
        <f t="shared" si="9"/>
        <v>4</v>
      </c>
      <c r="Q242" s="31">
        <f t="shared" si="10"/>
        <v>0</v>
      </c>
      <c r="R242" s="32">
        <f t="shared" si="11"/>
        <v>4</v>
      </c>
      <c r="V242" s="3" t="s">
        <v>348</v>
      </c>
      <c r="W242" s="3" t="s">
        <v>348</v>
      </c>
      <c r="X242" s="3" t="s">
        <v>348</v>
      </c>
      <c r="Y242" s="3" t="s">
        <v>348</v>
      </c>
      <c r="Z242" s="3" t="s">
        <v>348</v>
      </c>
      <c r="AC242" s="3" t="s">
        <v>348</v>
      </c>
      <c r="AF242" s="3" t="s">
        <v>348</v>
      </c>
      <c r="AG242" s="3" t="s">
        <v>348</v>
      </c>
      <c r="AH242" s="3" t="s">
        <v>348</v>
      </c>
      <c r="AI242" s="3">
        <v>4</v>
      </c>
      <c r="AJ242" s="3" t="s">
        <v>348</v>
      </c>
    </row>
    <row r="243" spans="1:36" s="3" customFormat="1">
      <c r="A243" s="9">
        <v>240</v>
      </c>
      <c r="B243" s="6" t="s">
        <v>269</v>
      </c>
      <c r="C243" s="14" t="s">
        <v>276</v>
      </c>
      <c r="D243" s="6" t="s">
        <v>275</v>
      </c>
      <c r="E243" s="12" t="s">
        <v>36</v>
      </c>
      <c r="F243" s="7"/>
      <c r="G243" s="21">
        <v>2</v>
      </c>
      <c r="H243" s="21">
        <v>2</v>
      </c>
      <c r="I243" s="21">
        <v>1</v>
      </c>
      <c r="J243" s="27">
        <v>1</v>
      </c>
      <c r="P243" s="30">
        <f t="shared" si="9"/>
        <v>1</v>
      </c>
      <c r="Q243" s="31">
        <f t="shared" si="10"/>
        <v>0</v>
      </c>
      <c r="R243" s="32">
        <f t="shared" si="11"/>
        <v>1</v>
      </c>
      <c r="V243" s="3" t="s">
        <v>348</v>
      </c>
      <c r="W243" s="3" t="s">
        <v>348</v>
      </c>
      <c r="X243" s="3" t="s">
        <v>348</v>
      </c>
      <c r="Y243" s="3" t="s">
        <v>348</v>
      </c>
      <c r="Z243" s="3" t="s">
        <v>348</v>
      </c>
      <c r="AC243" s="3" t="s">
        <v>348</v>
      </c>
      <c r="AF243" s="3" t="s">
        <v>348</v>
      </c>
      <c r="AG243" s="3" t="s">
        <v>348</v>
      </c>
      <c r="AH243" s="3" t="s">
        <v>348</v>
      </c>
      <c r="AI243" s="3">
        <v>1</v>
      </c>
      <c r="AJ243" s="3" t="s">
        <v>348</v>
      </c>
    </row>
    <row r="244" spans="1:36" s="3" customFormat="1">
      <c r="A244" s="9">
        <v>241</v>
      </c>
      <c r="B244" s="6" t="s">
        <v>269</v>
      </c>
      <c r="C244" s="14" t="s">
        <v>277</v>
      </c>
      <c r="D244" s="6" t="s">
        <v>275</v>
      </c>
      <c r="E244" s="12" t="s">
        <v>36</v>
      </c>
      <c r="F244" s="7"/>
      <c r="G244" s="21">
        <v>1</v>
      </c>
      <c r="H244" s="21">
        <v>1</v>
      </c>
      <c r="I244" s="21"/>
      <c r="J244" s="40">
        <v>1</v>
      </c>
      <c r="P244" s="30">
        <f t="shared" si="9"/>
        <v>1</v>
      </c>
      <c r="Q244" s="31">
        <f t="shared" si="10"/>
        <v>0</v>
      </c>
      <c r="R244" s="32">
        <f t="shared" si="11"/>
        <v>1</v>
      </c>
      <c r="V244" s="3" t="s">
        <v>348</v>
      </c>
      <c r="W244" s="3" t="s">
        <v>348</v>
      </c>
      <c r="X244" s="3" t="s">
        <v>348</v>
      </c>
      <c r="Y244" s="3" t="s">
        <v>348</v>
      </c>
      <c r="Z244" s="3" t="s">
        <v>348</v>
      </c>
      <c r="AC244" s="3" t="s">
        <v>348</v>
      </c>
      <c r="AF244" s="3" t="s">
        <v>348</v>
      </c>
      <c r="AG244" s="3" t="s">
        <v>348</v>
      </c>
      <c r="AH244" s="3" t="s">
        <v>348</v>
      </c>
      <c r="AI244" s="3">
        <v>1</v>
      </c>
      <c r="AJ244" s="3" t="s">
        <v>348</v>
      </c>
    </row>
    <row r="245" spans="1:36" s="3" customFormat="1">
      <c r="A245" s="9">
        <v>242</v>
      </c>
      <c r="B245" s="6" t="s">
        <v>269</v>
      </c>
      <c r="C245" s="14" t="s">
        <v>278</v>
      </c>
      <c r="D245" s="6" t="s">
        <v>275</v>
      </c>
      <c r="E245" s="12" t="s">
        <v>36</v>
      </c>
      <c r="F245" s="7"/>
      <c r="G245" s="21">
        <v>5</v>
      </c>
      <c r="H245" s="21">
        <v>5</v>
      </c>
      <c r="I245" s="21"/>
      <c r="J245" s="39">
        <v>5</v>
      </c>
      <c r="P245" s="30">
        <f t="shared" si="9"/>
        <v>5</v>
      </c>
      <c r="Q245" s="31">
        <f t="shared" si="10"/>
        <v>0</v>
      </c>
      <c r="R245" s="32">
        <f t="shared" si="11"/>
        <v>5</v>
      </c>
      <c r="V245" s="3" t="s">
        <v>348</v>
      </c>
      <c r="W245" s="3" t="s">
        <v>348</v>
      </c>
      <c r="X245" s="3" t="s">
        <v>348</v>
      </c>
      <c r="Y245" s="3" t="s">
        <v>348</v>
      </c>
      <c r="Z245" s="3" t="s">
        <v>348</v>
      </c>
      <c r="AC245" s="3" t="s">
        <v>348</v>
      </c>
      <c r="AF245" s="3" t="s">
        <v>348</v>
      </c>
      <c r="AG245" s="3" t="s">
        <v>348</v>
      </c>
      <c r="AH245" s="3" t="s">
        <v>348</v>
      </c>
      <c r="AI245" s="3">
        <v>5</v>
      </c>
      <c r="AJ245" s="3" t="s">
        <v>348</v>
      </c>
    </row>
    <row r="246" spans="1:36" s="3" customFormat="1">
      <c r="A246" s="9">
        <v>243</v>
      </c>
      <c r="B246" s="6" t="s">
        <v>279</v>
      </c>
      <c r="C246" s="14" t="s">
        <v>280</v>
      </c>
      <c r="D246" s="6" t="s">
        <v>275</v>
      </c>
      <c r="E246" s="12" t="s">
        <v>36</v>
      </c>
      <c r="F246" s="7"/>
      <c r="G246" s="21">
        <v>0</v>
      </c>
      <c r="H246" s="21">
        <v>0</v>
      </c>
      <c r="I246" s="21"/>
      <c r="J246" s="40">
        <v>0</v>
      </c>
      <c r="P246" s="30">
        <f t="shared" si="9"/>
        <v>0</v>
      </c>
      <c r="Q246" s="31">
        <f t="shared" si="10"/>
        <v>0</v>
      </c>
      <c r="R246" s="32">
        <f t="shared" si="11"/>
        <v>0</v>
      </c>
      <c r="V246" s="3" t="s">
        <v>348</v>
      </c>
      <c r="W246" s="3" t="s">
        <v>348</v>
      </c>
      <c r="X246" s="3" t="s">
        <v>348</v>
      </c>
      <c r="Y246" s="3" t="s">
        <v>348</v>
      </c>
      <c r="Z246" s="3" t="s">
        <v>348</v>
      </c>
      <c r="AC246" s="3" t="s">
        <v>348</v>
      </c>
      <c r="AF246" s="3" t="s">
        <v>348</v>
      </c>
      <c r="AG246" s="3" t="s">
        <v>348</v>
      </c>
      <c r="AH246" s="3" t="s">
        <v>348</v>
      </c>
      <c r="AI246" s="3" t="s">
        <v>348</v>
      </c>
      <c r="AJ246" s="3" t="s">
        <v>348</v>
      </c>
    </row>
    <row r="247" spans="1:36" s="3" customFormat="1">
      <c r="A247" s="9">
        <v>244</v>
      </c>
      <c r="B247" s="6" t="s">
        <v>284</v>
      </c>
      <c r="C247" s="14" t="s">
        <v>283</v>
      </c>
      <c r="D247" s="6" t="s">
        <v>275</v>
      </c>
      <c r="E247" s="12" t="s">
        <v>36</v>
      </c>
      <c r="F247" s="7"/>
      <c r="G247" s="21">
        <v>4</v>
      </c>
      <c r="H247" s="21">
        <v>4</v>
      </c>
      <c r="I247" s="21"/>
      <c r="J247" s="39">
        <v>4</v>
      </c>
      <c r="P247" s="30">
        <f t="shared" si="9"/>
        <v>4</v>
      </c>
      <c r="Q247" s="31">
        <f t="shared" si="10"/>
        <v>0</v>
      </c>
      <c r="R247" s="32">
        <f t="shared" si="11"/>
        <v>4</v>
      </c>
      <c r="V247" s="3" t="s">
        <v>348</v>
      </c>
      <c r="W247" s="3" t="s">
        <v>348</v>
      </c>
      <c r="X247" s="3" t="s">
        <v>348</v>
      </c>
      <c r="Y247" s="3" t="s">
        <v>348</v>
      </c>
      <c r="Z247" s="3" t="s">
        <v>348</v>
      </c>
      <c r="AC247" s="3" t="s">
        <v>348</v>
      </c>
      <c r="AF247" s="3" t="s">
        <v>348</v>
      </c>
      <c r="AG247" s="3" t="s">
        <v>348</v>
      </c>
      <c r="AH247" s="3" t="s">
        <v>348</v>
      </c>
      <c r="AI247" s="3">
        <v>4</v>
      </c>
      <c r="AJ247" s="3" t="s">
        <v>348</v>
      </c>
    </row>
    <row r="248" spans="1:36" s="3" customFormat="1">
      <c r="A248" s="9">
        <v>245</v>
      </c>
      <c r="B248" s="6" t="s">
        <v>284</v>
      </c>
      <c r="C248" s="14" t="s">
        <v>281</v>
      </c>
      <c r="D248" s="6" t="s">
        <v>275</v>
      </c>
      <c r="E248" s="12" t="s">
        <v>36</v>
      </c>
      <c r="F248" s="7"/>
      <c r="G248" s="21">
        <v>4</v>
      </c>
      <c r="H248" s="21">
        <v>4</v>
      </c>
      <c r="I248" s="21"/>
      <c r="J248" s="40">
        <v>4</v>
      </c>
      <c r="P248" s="30">
        <f t="shared" si="9"/>
        <v>4</v>
      </c>
      <c r="Q248" s="31">
        <f t="shared" si="10"/>
        <v>0</v>
      </c>
      <c r="R248" s="32">
        <f t="shared" si="11"/>
        <v>4</v>
      </c>
      <c r="V248" s="3" t="s">
        <v>348</v>
      </c>
      <c r="W248" s="3" t="s">
        <v>348</v>
      </c>
      <c r="X248" s="3" t="s">
        <v>348</v>
      </c>
      <c r="Y248" s="3" t="s">
        <v>348</v>
      </c>
      <c r="Z248" s="3" t="s">
        <v>348</v>
      </c>
      <c r="AC248" s="3" t="s">
        <v>348</v>
      </c>
      <c r="AF248" s="3" t="s">
        <v>348</v>
      </c>
      <c r="AG248" s="3" t="s">
        <v>348</v>
      </c>
      <c r="AH248" s="3" t="s">
        <v>348</v>
      </c>
      <c r="AI248" s="3">
        <v>4</v>
      </c>
      <c r="AJ248" s="3" t="s">
        <v>348</v>
      </c>
    </row>
    <row r="249" spans="1:36" s="3" customFormat="1">
      <c r="A249" s="9">
        <v>246</v>
      </c>
      <c r="B249" s="6" t="s">
        <v>284</v>
      </c>
      <c r="C249" s="14" t="s">
        <v>282</v>
      </c>
      <c r="D249" s="6" t="s">
        <v>275</v>
      </c>
      <c r="E249" s="12" t="s">
        <v>36</v>
      </c>
      <c r="F249" s="7"/>
      <c r="G249" s="21">
        <v>1</v>
      </c>
      <c r="H249" s="21">
        <v>1</v>
      </c>
      <c r="I249" s="21"/>
      <c r="J249" s="27">
        <v>1</v>
      </c>
      <c r="P249" s="30">
        <f t="shared" si="9"/>
        <v>1</v>
      </c>
      <c r="Q249" s="31">
        <f t="shared" si="10"/>
        <v>0</v>
      </c>
      <c r="R249" s="32">
        <f t="shared" si="11"/>
        <v>1</v>
      </c>
      <c r="V249" s="3" t="s">
        <v>348</v>
      </c>
      <c r="W249" s="3" t="s">
        <v>348</v>
      </c>
      <c r="X249" s="3" t="s">
        <v>348</v>
      </c>
      <c r="Y249" s="3" t="s">
        <v>348</v>
      </c>
      <c r="Z249" s="3" t="s">
        <v>348</v>
      </c>
      <c r="AC249" s="3" t="s">
        <v>348</v>
      </c>
      <c r="AF249" s="3" t="s">
        <v>348</v>
      </c>
      <c r="AG249" s="3" t="s">
        <v>348</v>
      </c>
      <c r="AH249" s="3" t="s">
        <v>348</v>
      </c>
      <c r="AI249" s="3">
        <v>1</v>
      </c>
      <c r="AJ249" s="3" t="s">
        <v>348</v>
      </c>
    </row>
    <row r="250" spans="1:36" s="3" customFormat="1">
      <c r="A250" s="46">
        <v>247</v>
      </c>
      <c r="B250" s="18" t="s">
        <v>285</v>
      </c>
      <c r="C250" s="47" t="s">
        <v>286</v>
      </c>
      <c r="D250" s="18" t="s">
        <v>287</v>
      </c>
      <c r="E250" s="48" t="s">
        <v>288</v>
      </c>
      <c r="F250" s="49" t="s">
        <v>331</v>
      </c>
      <c r="G250" s="21">
        <v>25</v>
      </c>
      <c r="H250" s="21">
        <v>25</v>
      </c>
      <c r="I250" s="21"/>
      <c r="J250" s="27">
        <v>25</v>
      </c>
      <c r="P250" s="30">
        <f t="shared" si="9"/>
        <v>25</v>
      </c>
      <c r="Q250" s="31">
        <f t="shared" si="10"/>
        <v>0</v>
      </c>
      <c r="R250" s="32">
        <f t="shared" si="11"/>
        <v>25</v>
      </c>
      <c r="V250" s="3" t="s">
        <v>348</v>
      </c>
      <c r="W250" s="3" t="s">
        <v>348</v>
      </c>
      <c r="X250" s="3" t="s">
        <v>348</v>
      </c>
      <c r="Y250" s="3" t="s">
        <v>348</v>
      </c>
      <c r="Z250" s="3" t="s">
        <v>348</v>
      </c>
      <c r="AC250" s="3" t="s">
        <v>348</v>
      </c>
      <c r="AF250" s="3" t="s">
        <v>348</v>
      </c>
      <c r="AG250" s="3" t="s">
        <v>348</v>
      </c>
      <c r="AH250" s="3" t="s">
        <v>348</v>
      </c>
      <c r="AI250" s="3">
        <v>25</v>
      </c>
      <c r="AJ250" s="3" t="s">
        <v>348</v>
      </c>
    </row>
    <row r="251" spans="1:36" s="3" customFormat="1">
      <c r="A251" s="62">
        <v>248</v>
      </c>
      <c r="B251" s="63" t="s">
        <v>289</v>
      </c>
      <c r="C251" s="64" t="s">
        <v>290</v>
      </c>
      <c r="D251" s="63" t="s">
        <v>35</v>
      </c>
      <c r="E251" s="65" t="s">
        <v>36</v>
      </c>
      <c r="F251" s="58"/>
      <c r="G251" s="43">
        <v>10</v>
      </c>
      <c r="H251" s="21">
        <v>10</v>
      </c>
      <c r="I251" s="21">
        <v>8</v>
      </c>
      <c r="J251" s="27">
        <v>2</v>
      </c>
      <c r="P251" s="30">
        <f t="shared" si="9"/>
        <v>2</v>
      </c>
      <c r="Q251" s="31">
        <f t="shared" si="10"/>
        <v>0</v>
      </c>
      <c r="R251" s="44">
        <f t="shared" si="11"/>
        <v>2</v>
      </c>
      <c r="V251" s="3" t="s">
        <v>348</v>
      </c>
      <c r="W251" s="3" t="s">
        <v>348</v>
      </c>
      <c r="X251" s="3" t="s">
        <v>348</v>
      </c>
      <c r="Y251" s="3">
        <v>2</v>
      </c>
      <c r="Z251" s="3" t="s">
        <v>348</v>
      </c>
      <c r="AC251" s="3" t="s">
        <v>348</v>
      </c>
      <c r="AF251" s="3" t="s">
        <v>348</v>
      </c>
      <c r="AG251" s="3" t="s">
        <v>348</v>
      </c>
      <c r="AH251" s="3" t="s">
        <v>348</v>
      </c>
      <c r="AI251" s="3" t="s">
        <v>348</v>
      </c>
      <c r="AJ251" s="3" t="s">
        <v>348</v>
      </c>
    </row>
    <row r="252" spans="1:36" s="3" customFormat="1">
      <c r="A252" s="62">
        <v>249</v>
      </c>
      <c r="B252" s="63" t="s">
        <v>289</v>
      </c>
      <c r="C252" s="64" t="s">
        <v>291</v>
      </c>
      <c r="D252" s="63" t="s">
        <v>35</v>
      </c>
      <c r="E252" s="65" t="s">
        <v>36</v>
      </c>
      <c r="F252" s="58"/>
      <c r="G252" s="43">
        <v>2</v>
      </c>
      <c r="H252" s="21">
        <v>2</v>
      </c>
      <c r="I252" s="21">
        <v>1</v>
      </c>
      <c r="J252" s="39">
        <v>1</v>
      </c>
      <c r="P252" s="30">
        <f t="shared" si="9"/>
        <v>1</v>
      </c>
      <c r="Q252" s="31">
        <f t="shared" si="10"/>
        <v>0</v>
      </c>
      <c r="R252" s="44">
        <f t="shared" si="11"/>
        <v>1</v>
      </c>
      <c r="V252" s="3" t="s">
        <v>348</v>
      </c>
      <c r="W252" s="3" t="s">
        <v>348</v>
      </c>
      <c r="X252" s="3" t="s">
        <v>348</v>
      </c>
      <c r="Y252" s="3">
        <v>1</v>
      </c>
      <c r="Z252" s="3" t="s">
        <v>348</v>
      </c>
      <c r="AC252" s="3" t="s">
        <v>348</v>
      </c>
      <c r="AF252" s="3" t="s">
        <v>348</v>
      </c>
      <c r="AG252" s="3" t="s">
        <v>348</v>
      </c>
      <c r="AH252" s="3" t="s">
        <v>348</v>
      </c>
      <c r="AI252" s="3" t="s">
        <v>348</v>
      </c>
      <c r="AJ252" s="3" t="s">
        <v>348</v>
      </c>
    </row>
    <row r="253" spans="1:36" s="3" customFormat="1">
      <c r="A253" s="62">
        <v>250</v>
      </c>
      <c r="B253" s="63" t="s">
        <v>289</v>
      </c>
      <c r="C253" s="64" t="s">
        <v>292</v>
      </c>
      <c r="D253" s="63" t="s">
        <v>35</v>
      </c>
      <c r="E253" s="65" t="s">
        <v>36</v>
      </c>
      <c r="F253" s="58"/>
      <c r="G253" s="43">
        <v>50</v>
      </c>
      <c r="H253" s="21">
        <v>50</v>
      </c>
      <c r="I253" s="21">
        <v>50</v>
      </c>
      <c r="J253" s="27">
        <v>0</v>
      </c>
      <c r="P253" s="30">
        <f t="shared" si="9"/>
        <v>0</v>
      </c>
      <c r="Q253" s="31">
        <f t="shared" si="10"/>
        <v>0</v>
      </c>
      <c r="R253" s="44">
        <f t="shared" si="11"/>
        <v>0</v>
      </c>
      <c r="V253" s="3" t="s">
        <v>348</v>
      </c>
      <c r="W253" s="3" t="s">
        <v>348</v>
      </c>
      <c r="X253" s="3" t="s">
        <v>348</v>
      </c>
      <c r="Y253" s="3" t="s">
        <v>348</v>
      </c>
      <c r="Z253" s="3" t="s">
        <v>348</v>
      </c>
      <c r="AC253" s="3" t="s">
        <v>348</v>
      </c>
      <c r="AF253" s="3" t="s">
        <v>348</v>
      </c>
      <c r="AG253" s="3" t="s">
        <v>348</v>
      </c>
      <c r="AH253" s="3" t="s">
        <v>348</v>
      </c>
      <c r="AI253" s="3" t="s">
        <v>348</v>
      </c>
      <c r="AJ253" s="3" t="s">
        <v>348</v>
      </c>
    </row>
    <row r="254" spans="1:36" s="3" customFormat="1">
      <c r="A254" s="62">
        <v>251</v>
      </c>
      <c r="B254" s="63" t="s">
        <v>289</v>
      </c>
      <c r="C254" s="45" t="s">
        <v>293</v>
      </c>
      <c r="D254" s="63" t="s">
        <v>35</v>
      </c>
      <c r="E254" s="65" t="s">
        <v>36</v>
      </c>
      <c r="F254" s="58"/>
      <c r="G254" s="43">
        <v>10</v>
      </c>
      <c r="H254" s="21">
        <v>10</v>
      </c>
      <c r="I254" s="21">
        <v>10</v>
      </c>
      <c r="J254" s="27">
        <v>0</v>
      </c>
      <c r="P254" s="30">
        <f t="shared" si="9"/>
        <v>0</v>
      </c>
      <c r="Q254" s="31">
        <f t="shared" si="10"/>
        <v>0</v>
      </c>
      <c r="R254" s="44">
        <f t="shared" si="11"/>
        <v>0</v>
      </c>
      <c r="V254" s="3" t="s">
        <v>348</v>
      </c>
      <c r="W254" s="3" t="s">
        <v>348</v>
      </c>
      <c r="X254" s="3" t="s">
        <v>348</v>
      </c>
      <c r="Y254" s="3" t="s">
        <v>348</v>
      </c>
      <c r="Z254" s="3" t="s">
        <v>348</v>
      </c>
      <c r="AC254" s="3" t="s">
        <v>348</v>
      </c>
      <c r="AF254" s="3" t="s">
        <v>348</v>
      </c>
      <c r="AG254" s="3" t="s">
        <v>348</v>
      </c>
      <c r="AH254" s="3" t="s">
        <v>348</v>
      </c>
      <c r="AI254" s="3" t="s">
        <v>348</v>
      </c>
      <c r="AJ254" s="3" t="s">
        <v>348</v>
      </c>
    </row>
    <row r="255" spans="1:36" s="3" customFormat="1">
      <c r="A255" s="62">
        <v>252</v>
      </c>
      <c r="B255" s="63" t="s">
        <v>289</v>
      </c>
      <c r="C255" s="64" t="s">
        <v>294</v>
      </c>
      <c r="D255" s="63" t="s">
        <v>54</v>
      </c>
      <c r="E255" s="65" t="s">
        <v>36</v>
      </c>
      <c r="F255" s="58"/>
      <c r="G255" s="43">
        <v>10</v>
      </c>
      <c r="H255" s="21">
        <v>10</v>
      </c>
      <c r="I255" s="21">
        <v>10</v>
      </c>
      <c r="J255" s="27">
        <v>0</v>
      </c>
      <c r="P255" s="30">
        <f t="shared" si="9"/>
        <v>0</v>
      </c>
      <c r="Q255" s="31">
        <f t="shared" si="10"/>
        <v>0</v>
      </c>
      <c r="R255" s="44">
        <f t="shared" si="11"/>
        <v>0</v>
      </c>
      <c r="V255" s="3" t="s">
        <v>348</v>
      </c>
      <c r="W255" s="3" t="s">
        <v>348</v>
      </c>
      <c r="X255" s="3" t="s">
        <v>348</v>
      </c>
      <c r="Y255" s="3" t="s">
        <v>348</v>
      </c>
      <c r="Z255" s="3" t="s">
        <v>348</v>
      </c>
      <c r="AC255" s="3" t="s">
        <v>348</v>
      </c>
      <c r="AF255" s="3" t="s">
        <v>348</v>
      </c>
      <c r="AG255" s="3" t="s">
        <v>348</v>
      </c>
      <c r="AH255" s="3" t="s">
        <v>348</v>
      </c>
      <c r="AI255" s="3" t="s">
        <v>348</v>
      </c>
      <c r="AJ255" s="3" t="s">
        <v>348</v>
      </c>
    </row>
    <row r="256" spans="1:36" s="3" customFormat="1">
      <c r="A256" s="62">
        <v>253</v>
      </c>
      <c r="B256" s="63" t="s">
        <v>289</v>
      </c>
      <c r="C256" s="64" t="s">
        <v>295</v>
      </c>
      <c r="D256" s="63" t="s">
        <v>54</v>
      </c>
      <c r="E256" s="65" t="s">
        <v>36</v>
      </c>
      <c r="F256" s="58"/>
      <c r="G256" s="43">
        <v>2</v>
      </c>
      <c r="H256" s="21">
        <v>2</v>
      </c>
      <c r="I256" s="21">
        <v>1</v>
      </c>
      <c r="J256" s="39">
        <v>1</v>
      </c>
      <c r="P256" s="30">
        <f t="shared" si="9"/>
        <v>1</v>
      </c>
      <c r="Q256" s="31">
        <f t="shared" si="10"/>
        <v>0</v>
      </c>
      <c r="R256" s="44">
        <f t="shared" si="11"/>
        <v>1</v>
      </c>
      <c r="V256" s="3" t="s">
        <v>348</v>
      </c>
      <c r="W256" s="3" t="s">
        <v>348</v>
      </c>
      <c r="X256" s="3" t="s">
        <v>348</v>
      </c>
      <c r="Y256" s="3">
        <v>1</v>
      </c>
      <c r="Z256" s="3" t="s">
        <v>348</v>
      </c>
      <c r="AC256" s="3" t="s">
        <v>348</v>
      </c>
      <c r="AF256" s="3" t="s">
        <v>348</v>
      </c>
      <c r="AG256" s="3" t="s">
        <v>348</v>
      </c>
      <c r="AH256" s="3" t="s">
        <v>348</v>
      </c>
      <c r="AI256" s="3" t="s">
        <v>348</v>
      </c>
      <c r="AJ256" s="3" t="s">
        <v>348</v>
      </c>
    </row>
    <row r="257" spans="1:36" s="3" customFormat="1">
      <c r="A257" s="62">
        <v>254</v>
      </c>
      <c r="B257" s="63" t="s">
        <v>289</v>
      </c>
      <c r="C257" s="64" t="s">
        <v>296</v>
      </c>
      <c r="D257" s="63" t="s">
        <v>54</v>
      </c>
      <c r="E257" s="65" t="s">
        <v>36</v>
      </c>
      <c r="F257" s="58"/>
      <c r="G257" s="43">
        <v>50</v>
      </c>
      <c r="H257" s="21">
        <v>50</v>
      </c>
      <c r="I257" s="21"/>
      <c r="J257" s="27">
        <v>50</v>
      </c>
      <c r="P257" s="30">
        <f t="shared" si="9"/>
        <v>50</v>
      </c>
      <c r="Q257" s="31">
        <f t="shared" si="10"/>
        <v>0</v>
      </c>
      <c r="R257" s="44">
        <f t="shared" si="11"/>
        <v>50</v>
      </c>
      <c r="V257" s="3" t="s">
        <v>348</v>
      </c>
      <c r="W257" s="3" t="s">
        <v>348</v>
      </c>
      <c r="X257" s="3" t="s">
        <v>348</v>
      </c>
      <c r="Y257" s="3">
        <v>50</v>
      </c>
      <c r="Z257" s="3" t="s">
        <v>348</v>
      </c>
      <c r="AC257" s="3" t="s">
        <v>348</v>
      </c>
      <c r="AF257" s="3" t="s">
        <v>348</v>
      </c>
      <c r="AG257" s="3" t="s">
        <v>348</v>
      </c>
      <c r="AH257" s="3" t="s">
        <v>348</v>
      </c>
      <c r="AI257" s="3" t="s">
        <v>348</v>
      </c>
      <c r="AJ257" s="3" t="s">
        <v>348</v>
      </c>
    </row>
    <row r="258" spans="1:36" s="3" customFormat="1">
      <c r="A258" s="62">
        <v>255</v>
      </c>
      <c r="B258" s="63" t="s">
        <v>289</v>
      </c>
      <c r="C258" s="64" t="s">
        <v>297</v>
      </c>
      <c r="D258" s="63" t="s">
        <v>54</v>
      </c>
      <c r="E258" s="65" t="s">
        <v>36</v>
      </c>
      <c r="F258" s="58"/>
      <c r="G258" s="43">
        <v>20</v>
      </c>
      <c r="H258" s="21">
        <v>20</v>
      </c>
      <c r="I258" s="21">
        <v>8</v>
      </c>
      <c r="J258" s="27">
        <v>12</v>
      </c>
      <c r="P258" s="30">
        <f t="shared" si="9"/>
        <v>12</v>
      </c>
      <c r="Q258" s="31">
        <f t="shared" si="10"/>
        <v>0</v>
      </c>
      <c r="R258" s="44">
        <f t="shared" si="11"/>
        <v>12</v>
      </c>
      <c r="V258" s="3" t="s">
        <v>348</v>
      </c>
      <c r="W258" s="3" t="s">
        <v>348</v>
      </c>
      <c r="X258" s="3" t="s">
        <v>348</v>
      </c>
      <c r="Y258" s="3">
        <v>12</v>
      </c>
      <c r="Z258" s="3" t="s">
        <v>348</v>
      </c>
      <c r="AC258" s="3" t="s">
        <v>348</v>
      </c>
      <c r="AF258" s="3" t="s">
        <v>348</v>
      </c>
      <c r="AG258" s="3" t="s">
        <v>348</v>
      </c>
      <c r="AH258" s="3" t="s">
        <v>348</v>
      </c>
      <c r="AI258" s="3" t="s">
        <v>348</v>
      </c>
      <c r="AJ258" s="3" t="s">
        <v>348</v>
      </c>
    </row>
    <row r="259" spans="1:36" s="3" customFormat="1" ht="32.4">
      <c r="A259" s="62">
        <v>256</v>
      </c>
      <c r="B259" s="63" t="s">
        <v>301</v>
      </c>
      <c r="C259" s="64" t="s">
        <v>298</v>
      </c>
      <c r="D259" s="63" t="s">
        <v>9</v>
      </c>
      <c r="E259" s="65" t="s">
        <v>36</v>
      </c>
      <c r="F259" s="58"/>
      <c r="G259" s="43">
        <v>11</v>
      </c>
      <c r="H259" s="21">
        <v>11</v>
      </c>
      <c r="I259" s="21"/>
      <c r="J259" s="39">
        <v>11</v>
      </c>
      <c r="P259" s="30">
        <f t="shared" si="9"/>
        <v>11</v>
      </c>
      <c r="Q259" s="31">
        <f t="shared" si="10"/>
        <v>0</v>
      </c>
      <c r="R259" s="44">
        <f t="shared" si="11"/>
        <v>11</v>
      </c>
      <c r="V259" s="3" t="s">
        <v>348</v>
      </c>
      <c r="W259" s="3">
        <v>2</v>
      </c>
      <c r="X259" s="3" t="s">
        <v>348</v>
      </c>
      <c r="Y259" s="3" t="s">
        <v>348</v>
      </c>
      <c r="Z259" s="3" t="s">
        <v>348</v>
      </c>
      <c r="AC259" s="3" t="s">
        <v>348</v>
      </c>
      <c r="AE259" s="3">
        <v>9</v>
      </c>
      <c r="AF259" s="3" t="s">
        <v>348</v>
      </c>
      <c r="AG259" s="3" t="s">
        <v>348</v>
      </c>
      <c r="AH259" s="3" t="s">
        <v>348</v>
      </c>
      <c r="AI259" s="3" t="s">
        <v>348</v>
      </c>
      <c r="AJ259" s="3" t="s">
        <v>348</v>
      </c>
    </row>
    <row r="260" spans="1:36" s="3" customFormat="1" ht="32.4">
      <c r="A260" s="62">
        <v>257</v>
      </c>
      <c r="B260" s="63" t="s">
        <v>301</v>
      </c>
      <c r="C260" s="64" t="s">
        <v>299</v>
      </c>
      <c r="D260" s="63" t="s">
        <v>20</v>
      </c>
      <c r="E260" s="65" t="s">
        <v>36</v>
      </c>
      <c r="F260" s="58"/>
      <c r="G260" s="43">
        <v>47</v>
      </c>
      <c r="H260" s="21">
        <v>47</v>
      </c>
      <c r="I260" s="21"/>
      <c r="J260" s="39">
        <v>47</v>
      </c>
      <c r="P260" s="30">
        <f t="shared" si="9"/>
        <v>47</v>
      </c>
      <c r="Q260" s="31">
        <f t="shared" si="10"/>
        <v>0</v>
      </c>
      <c r="R260" s="44">
        <f t="shared" si="11"/>
        <v>47</v>
      </c>
      <c r="V260" s="3" t="s">
        <v>348</v>
      </c>
      <c r="W260" s="3">
        <v>44</v>
      </c>
      <c r="X260" s="3" t="s">
        <v>348</v>
      </c>
      <c r="Y260" s="3" t="s">
        <v>348</v>
      </c>
      <c r="Z260" s="3" t="s">
        <v>348</v>
      </c>
      <c r="AC260" s="3" t="s">
        <v>348</v>
      </c>
      <c r="AE260" s="3">
        <v>3</v>
      </c>
      <c r="AF260" s="3" t="s">
        <v>348</v>
      </c>
      <c r="AG260" s="3" t="s">
        <v>348</v>
      </c>
      <c r="AH260" s="3" t="s">
        <v>348</v>
      </c>
      <c r="AI260" s="3" t="s">
        <v>348</v>
      </c>
      <c r="AJ260" s="3" t="s">
        <v>348</v>
      </c>
    </row>
    <row r="261" spans="1:36" s="3" customFormat="1" ht="32.4">
      <c r="A261" s="62">
        <v>258</v>
      </c>
      <c r="B261" s="63" t="s">
        <v>301</v>
      </c>
      <c r="C261" s="64" t="s">
        <v>300</v>
      </c>
      <c r="D261" s="63" t="s">
        <v>20</v>
      </c>
      <c r="E261" s="65" t="s">
        <v>36</v>
      </c>
      <c r="F261" s="58"/>
      <c r="G261" s="43">
        <v>5</v>
      </c>
      <c r="H261" s="21">
        <v>5</v>
      </c>
      <c r="I261" s="21"/>
      <c r="J261" s="27">
        <v>5</v>
      </c>
      <c r="P261" s="30">
        <f t="shared" ref="P261:P272" si="12">SUM(J261:O261)</f>
        <v>5</v>
      </c>
      <c r="Q261" s="31">
        <f t="shared" ref="Q261:Q280" si="13">+R261-P261</f>
        <v>0</v>
      </c>
      <c r="R261" s="44">
        <f t="shared" ref="R261:R280" si="14">SUM(S261:FB261)</f>
        <v>5</v>
      </c>
      <c r="V261" s="3" t="s">
        <v>348</v>
      </c>
      <c r="W261" s="3">
        <v>5</v>
      </c>
      <c r="X261" s="3" t="s">
        <v>348</v>
      </c>
      <c r="Y261" s="3" t="s">
        <v>348</v>
      </c>
      <c r="Z261" s="3" t="s">
        <v>348</v>
      </c>
      <c r="AC261" s="3" t="s">
        <v>348</v>
      </c>
      <c r="AF261" s="3" t="s">
        <v>348</v>
      </c>
      <c r="AG261" s="3" t="s">
        <v>348</v>
      </c>
      <c r="AH261" s="3" t="s">
        <v>348</v>
      </c>
      <c r="AI261" s="3" t="s">
        <v>348</v>
      </c>
      <c r="AJ261" s="3" t="s">
        <v>348</v>
      </c>
    </row>
    <row r="262" spans="1:36" s="3" customFormat="1">
      <c r="A262" s="62">
        <v>259</v>
      </c>
      <c r="B262" s="63" t="s">
        <v>306</v>
      </c>
      <c r="C262" s="64" t="s">
        <v>302</v>
      </c>
      <c r="D262" s="63" t="s">
        <v>54</v>
      </c>
      <c r="E262" s="65" t="s">
        <v>36</v>
      </c>
      <c r="F262" s="58"/>
      <c r="G262" s="43">
        <v>5</v>
      </c>
      <c r="H262" s="21">
        <v>5</v>
      </c>
      <c r="I262" s="21"/>
      <c r="J262" s="27">
        <v>5</v>
      </c>
      <c r="P262" s="30">
        <f t="shared" si="12"/>
        <v>5</v>
      </c>
      <c r="Q262" s="31">
        <f t="shared" si="13"/>
        <v>0</v>
      </c>
      <c r="R262" s="44">
        <f t="shared" si="14"/>
        <v>5</v>
      </c>
      <c r="V262" s="3" t="s">
        <v>348</v>
      </c>
      <c r="W262" s="3" t="s">
        <v>348</v>
      </c>
      <c r="X262" s="3" t="s">
        <v>348</v>
      </c>
      <c r="Y262" s="3">
        <v>5</v>
      </c>
      <c r="Z262" s="3" t="s">
        <v>348</v>
      </c>
      <c r="AC262" s="3" t="s">
        <v>348</v>
      </c>
      <c r="AF262" s="3" t="s">
        <v>348</v>
      </c>
      <c r="AG262" s="3" t="s">
        <v>348</v>
      </c>
      <c r="AH262" s="3" t="s">
        <v>348</v>
      </c>
      <c r="AI262" s="3" t="s">
        <v>348</v>
      </c>
      <c r="AJ262" s="3" t="s">
        <v>348</v>
      </c>
    </row>
    <row r="263" spans="1:36" s="3" customFormat="1">
      <c r="A263" s="62">
        <v>260</v>
      </c>
      <c r="B263" s="63" t="s">
        <v>306</v>
      </c>
      <c r="C263" s="64" t="s">
        <v>303</v>
      </c>
      <c r="D263" s="63" t="s">
        <v>54</v>
      </c>
      <c r="E263" s="65" t="s">
        <v>36</v>
      </c>
      <c r="F263" s="58"/>
      <c r="G263" s="43">
        <v>3</v>
      </c>
      <c r="H263" s="21">
        <v>3</v>
      </c>
      <c r="I263" s="21"/>
      <c r="J263" s="39">
        <v>3</v>
      </c>
      <c r="P263" s="30">
        <f t="shared" si="12"/>
        <v>3</v>
      </c>
      <c r="Q263" s="31">
        <f t="shared" si="13"/>
        <v>0</v>
      </c>
      <c r="R263" s="44">
        <f t="shared" si="14"/>
        <v>3</v>
      </c>
      <c r="V263" s="3" t="s">
        <v>348</v>
      </c>
      <c r="W263" s="3" t="s">
        <v>348</v>
      </c>
      <c r="X263" s="3" t="s">
        <v>348</v>
      </c>
      <c r="Y263" s="3">
        <v>3</v>
      </c>
      <c r="Z263" s="3" t="s">
        <v>348</v>
      </c>
      <c r="AC263" s="3" t="s">
        <v>348</v>
      </c>
      <c r="AF263" s="3" t="s">
        <v>348</v>
      </c>
      <c r="AG263" s="3" t="s">
        <v>348</v>
      </c>
      <c r="AH263" s="3" t="s">
        <v>348</v>
      </c>
      <c r="AI263" s="3" t="s">
        <v>348</v>
      </c>
      <c r="AJ263" s="3" t="s">
        <v>348</v>
      </c>
    </row>
    <row r="264" spans="1:36" s="3" customFormat="1">
      <c r="A264" s="62">
        <v>261</v>
      </c>
      <c r="B264" s="63" t="s">
        <v>306</v>
      </c>
      <c r="C264" s="64" t="s">
        <v>304</v>
      </c>
      <c r="D264" s="63" t="s">
        <v>54</v>
      </c>
      <c r="E264" s="65" t="s">
        <v>36</v>
      </c>
      <c r="F264" s="58"/>
      <c r="G264" s="43">
        <v>1</v>
      </c>
      <c r="H264" s="21">
        <v>1</v>
      </c>
      <c r="I264" s="21"/>
      <c r="J264" s="27">
        <v>1</v>
      </c>
      <c r="P264" s="30">
        <f t="shared" si="12"/>
        <v>1</v>
      </c>
      <c r="Q264" s="31">
        <f t="shared" si="13"/>
        <v>0</v>
      </c>
      <c r="R264" s="44">
        <f t="shared" si="14"/>
        <v>1</v>
      </c>
      <c r="V264" s="3" t="s">
        <v>348</v>
      </c>
      <c r="W264" s="3" t="s">
        <v>348</v>
      </c>
      <c r="X264" s="3" t="s">
        <v>348</v>
      </c>
      <c r="Y264" s="3">
        <v>1</v>
      </c>
      <c r="Z264" s="3" t="s">
        <v>348</v>
      </c>
      <c r="AC264" s="3" t="s">
        <v>348</v>
      </c>
      <c r="AF264" s="3" t="s">
        <v>348</v>
      </c>
      <c r="AG264" s="3" t="s">
        <v>348</v>
      </c>
      <c r="AH264" s="3" t="s">
        <v>348</v>
      </c>
      <c r="AI264" s="3" t="s">
        <v>348</v>
      </c>
      <c r="AJ264" s="3" t="s">
        <v>348</v>
      </c>
    </row>
    <row r="265" spans="1:36" s="3" customFormat="1">
      <c r="A265" s="62">
        <v>262</v>
      </c>
      <c r="B265" s="63" t="s">
        <v>306</v>
      </c>
      <c r="C265" s="64" t="s">
        <v>305</v>
      </c>
      <c r="D265" s="63" t="s">
        <v>54</v>
      </c>
      <c r="E265" s="65" t="s">
        <v>36</v>
      </c>
      <c r="F265" s="58"/>
      <c r="G265" s="43">
        <v>17</v>
      </c>
      <c r="H265" s="21">
        <v>17</v>
      </c>
      <c r="I265" s="21"/>
      <c r="J265" s="40">
        <v>17</v>
      </c>
      <c r="P265" s="30">
        <f t="shared" si="12"/>
        <v>17</v>
      </c>
      <c r="Q265" s="31">
        <f t="shared" si="13"/>
        <v>0</v>
      </c>
      <c r="R265" s="44">
        <f t="shared" si="14"/>
        <v>17</v>
      </c>
      <c r="V265" s="3" t="s">
        <v>348</v>
      </c>
      <c r="W265" s="3" t="s">
        <v>348</v>
      </c>
      <c r="X265" s="3" t="s">
        <v>348</v>
      </c>
      <c r="Y265" s="3">
        <v>17</v>
      </c>
      <c r="Z265" s="3" t="s">
        <v>348</v>
      </c>
      <c r="AC265" s="3" t="s">
        <v>348</v>
      </c>
      <c r="AF265" s="3" t="s">
        <v>348</v>
      </c>
      <c r="AG265" s="3" t="s">
        <v>348</v>
      </c>
      <c r="AH265" s="3" t="s">
        <v>348</v>
      </c>
      <c r="AI265" s="3" t="s">
        <v>348</v>
      </c>
      <c r="AJ265" s="3" t="s">
        <v>348</v>
      </c>
    </row>
    <row r="266" spans="1:36" s="3" customFormat="1">
      <c r="A266" s="62">
        <v>263</v>
      </c>
      <c r="B266" s="63" t="s">
        <v>306</v>
      </c>
      <c r="C266" s="64" t="s">
        <v>307</v>
      </c>
      <c r="D266" s="63" t="s">
        <v>35</v>
      </c>
      <c r="E266" s="65" t="s">
        <v>36</v>
      </c>
      <c r="F266" s="58"/>
      <c r="G266" s="43">
        <v>16</v>
      </c>
      <c r="H266" s="21">
        <v>16</v>
      </c>
      <c r="I266" s="21"/>
      <c r="J266" s="39">
        <v>16</v>
      </c>
      <c r="P266" s="30">
        <f t="shared" si="12"/>
        <v>16</v>
      </c>
      <c r="Q266" s="31">
        <f t="shared" si="13"/>
        <v>0</v>
      </c>
      <c r="R266" s="44">
        <f t="shared" si="14"/>
        <v>16</v>
      </c>
      <c r="V266" s="3" t="s">
        <v>348</v>
      </c>
      <c r="W266" s="3" t="s">
        <v>348</v>
      </c>
      <c r="X266" s="3" t="s">
        <v>348</v>
      </c>
      <c r="Y266" s="3">
        <v>16</v>
      </c>
      <c r="Z266" s="3" t="s">
        <v>348</v>
      </c>
      <c r="AC266" s="3" t="s">
        <v>348</v>
      </c>
      <c r="AF266" s="3" t="s">
        <v>348</v>
      </c>
      <c r="AG266" s="3" t="s">
        <v>348</v>
      </c>
      <c r="AH266" s="3" t="s">
        <v>348</v>
      </c>
      <c r="AI266" s="3" t="s">
        <v>348</v>
      </c>
      <c r="AJ266" s="3" t="s">
        <v>348</v>
      </c>
    </row>
    <row r="267" spans="1:36" s="3" customFormat="1">
      <c r="A267" s="62">
        <v>264</v>
      </c>
      <c r="B267" s="63" t="s">
        <v>306</v>
      </c>
      <c r="C267" s="64" t="s">
        <v>308</v>
      </c>
      <c r="D267" s="63" t="s">
        <v>35</v>
      </c>
      <c r="E267" s="65" t="s">
        <v>36</v>
      </c>
      <c r="F267" s="58"/>
      <c r="G267" s="43">
        <v>3</v>
      </c>
      <c r="H267" s="21">
        <v>3</v>
      </c>
      <c r="I267" s="21"/>
      <c r="J267" s="27">
        <v>3</v>
      </c>
      <c r="P267" s="30">
        <f t="shared" si="12"/>
        <v>3</v>
      </c>
      <c r="Q267" s="31">
        <f t="shared" si="13"/>
        <v>0</v>
      </c>
      <c r="R267" s="44">
        <f t="shared" si="14"/>
        <v>3</v>
      </c>
      <c r="V267" s="3" t="s">
        <v>348</v>
      </c>
      <c r="W267" s="3" t="s">
        <v>348</v>
      </c>
      <c r="X267" s="3" t="s">
        <v>348</v>
      </c>
      <c r="Y267" s="3">
        <v>3</v>
      </c>
      <c r="Z267" s="3" t="s">
        <v>348</v>
      </c>
      <c r="AC267" s="3" t="s">
        <v>348</v>
      </c>
      <c r="AF267" s="3" t="s">
        <v>348</v>
      </c>
      <c r="AG267" s="3" t="s">
        <v>348</v>
      </c>
      <c r="AH267" s="3" t="s">
        <v>348</v>
      </c>
      <c r="AI267" s="3" t="s">
        <v>348</v>
      </c>
      <c r="AJ267" s="3" t="s">
        <v>348</v>
      </c>
    </row>
    <row r="268" spans="1:36" s="3" customFormat="1">
      <c r="A268" s="62">
        <v>265</v>
      </c>
      <c r="B268" s="63" t="s">
        <v>306</v>
      </c>
      <c r="C268" s="64" t="s">
        <v>309</v>
      </c>
      <c r="D268" s="63" t="s">
        <v>35</v>
      </c>
      <c r="E268" s="65" t="s">
        <v>36</v>
      </c>
      <c r="F268" s="58"/>
      <c r="G268" s="43">
        <v>16</v>
      </c>
      <c r="H268" s="21">
        <v>16</v>
      </c>
      <c r="I268" s="21"/>
      <c r="J268" s="27">
        <v>16</v>
      </c>
      <c r="P268" s="30">
        <f t="shared" si="12"/>
        <v>16</v>
      </c>
      <c r="Q268" s="31">
        <f t="shared" si="13"/>
        <v>0</v>
      </c>
      <c r="R268" s="44">
        <f t="shared" si="14"/>
        <v>16</v>
      </c>
      <c r="V268" s="3" t="s">
        <v>348</v>
      </c>
      <c r="W268" s="3" t="s">
        <v>348</v>
      </c>
      <c r="X268" s="3" t="s">
        <v>348</v>
      </c>
      <c r="Y268" s="3">
        <v>16</v>
      </c>
      <c r="Z268" s="3" t="s">
        <v>348</v>
      </c>
      <c r="AC268" s="3" t="s">
        <v>348</v>
      </c>
      <c r="AF268" s="3" t="s">
        <v>348</v>
      </c>
      <c r="AG268" s="3" t="s">
        <v>348</v>
      </c>
      <c r="AH268" s="3" t="s">
        <v>348</v>
      </c>
      <c r="AI268" s="3" t="s">
        <v>348</v>
      </c>
      <c r="AJ268" s="3" t="s">
        <v>348</v>
      </c>
    </row>
    <row r="269" spans="1:36" s="3" customFormat="1">
      <c r="A269" s="62">
        <v>266</v>
      </c>
      <c r="B269" s="63" t="s">
        <v>306</v>
      </c>
      <c r="C269" s="64" t="s">
        <v>310</v>
      </c>
      <c r="D269" s="63" t="s">
        <v>35</v>
      </c>
      <c r="E269" s="65" t="s">
        <v>36</v>
      </c>
      <c r="F269" s="58"/>
      <c r="G269" s="43">
        <v>4</v>
      </c>
      <c r="H269" s="21">
        <v>4</v>
      </c>
      <c r="I269" s="21"/>
      <c r="J269" s="27">
        <v>4</v>
      </c>
      <c r="P269" s="30">
        <f t="shared" si="12"/>
        <v>4</v>
      </c>
      <c r="Q269" s="31">
        <f t="shared" si="13"/>
        <v>0</v>
      </c>
      <c r="R269" s="44">
        <f t="shared" si="14"/>
        <v>4</v>
      </c>
      <c r="V269" s="3" t="s">
        <v>348</v>
      </c>
      <c r="W269" s="3" t="s">
        <v>348</v>
      </c>
      <c r="X269" s="3" t="s">
        <v>348</v>
      </c>
      <c r="Y269" s="3">
        <v>4</v>
      </c>
      <c r="Z269" s="3" t="s">
        <v>348</v>
      </c>
      <c r="AC269" s="3" t="s">
        <v>348</v>
      </c>
      <c r="AF269" s="3" t="s">
        <v>348</v>
      </c>
      <c r="AG269" s="3" t="s">
        <v>348</v>
      </c>
      <c r="AH269" s="3" t="s">
        <v>348</v>
      </c>
      <c r="AI269" s="3" t="s">
        <v>348</v>
      </c>
      <c r="AJ269" s="3" t="s">
        <v>348</v>
      </c>
    </row>
    <row r="270" spans="1:36" s="3" customFormat="1">
      <c r="A270" s="62">
        <v>267</v>
      </c>
      <c r="B270" s="63" t="s">
        <v>306</v>
      </c>
      <c r="C270" s="64" t="s">
        <v>311</v>
      </c>
      <c r="D270" s="63" t="s">
        <v>35</v>
      </c>
      <c r="E270" s="65" t="s">
        <v>36</v>
      </c>
      <c r="F270" s="58"/>
      <c r="G270" s="43">
        <v>9</v>
      </c>
      <c r="H270" s="21">
        <v>9</v>
      </c>
      <c r="I270" s="21"/>
      <c r="J270" s="27">
        <v>9</v>
      </c>
      <c r="P270" s="30">
        <f t="shared" si="12"/>
        <v>9</v>
      </c>
      <c r="Q270" s="31">
        <f t="shared" si="13"/>
        <v>0</v>
      </c>
      <c r="R270" s="44">
        <f t="shared" si="14"/>
        <v>9</v>
      </c>
      <c r="V270" s="3" t="s">
        <v>348</v>
      </c>
      <c r="W270" s="3" t="s">
        <v>348</v>
      </c>
      <c r="X270" s="3" t="s">
        <v>348</v>
      </c>
      <c r="Y270" s="3">
        <v>9</v>
      </c>
      <c r="Z270" s="3" t="s">
        <v>348</v>
      </c>
      <c r="AC270" s="3" t="s">
        <v>348</v>
      </c>
      <c r="AF270" s="3" t="s">
        <v>348</v>
      </c>
      <c r="AG270" s="3" t="s">
        <v>348</v>
      </c>
      <c r="AH270" s="3" t="s">
        <v>348</v>
      </c>
      <c r="AI270" s="3" t="s">
        <v>348</v>
      </c>
      <c r="AJ270" s="3" t="s">
        <v>348</v>
      </c>
    </row>
    <row r="271" spans="1:36" s="3" customFormat="1">
      <c r="A271" s="62">
        <v>268</v>
      </c>
      <c r="B271" s="63" t="s">
        <v>306</v>
      </c>
      <c r="C271" s="64" t="s">
        <v>312</v>
      </c>
      <c r="D271" s="63" t="s">
        <v>35</v>
      </c>
      <c r="E271" s="65" t="s">
        <v>36</v>
      </c>
      <c r="F271" s="58"/>
      <c r="G271" s="43">
        <v>1</v>
      </c>
      <c r="H271" s="21">
        <v>1</v>
      </c>
      <c r="I271" s="21"/>
      <c r="J271" s="27">
        <v>1</v>
      </c>
      <c r="P271" s="30">
        <f t="shared" si="12"/>
        <v>1</v>
      </c>
      <c r="Q271" s="31">
        <f t="shared" si="13"/>
        <v>0</v>
      </c>
      <c r="R271" s="44">
        <f t="shared" si="14"/>
        <v>1</v>
      </c>
      <c r="V271" s="3" t="s">
        <v>348</v>
      </c>
      <c r="W271" s="3" t="s">
        <v>348</v>
      </c>
      <c r="X271" s="3" t="s">
        <v>348</v>
      </c>
      <c r="Y271" s="3">
        <v>1</v>
      </c>
      <c r="Z271" s="3" t="s">
        <v>348</v>
      </c>
      <c r="AC271" s="3" t="s">
        <v>348</v>
      </c>
      <c r="AF271" s="3" t="s">
        <v>348</v>
      </c>
      <c r="AG271" s="3" t="s">
        <v>348</v>
      </c>
      <c r="AH271" s="3" t="s">
        <v>348</v>
      </c>
      <c r="AI271" s="3" t="s">
        <v>348</v>
      </c>
      <c r="AJ271" s="3" t="s">
        <v>348</v>
      </c>
    </row>
    <row r="272" spans="1:36" s="3" customFormat="1">
      <c r="A272" s="62">
        <v>269</v>
      </c>
      <c r="B272" s="63" t="s">
        <v>314</v>
      </c>
      <c r="C272" s="64" t="s">
        <v>313</v>
      </c>
      <c r="D272" s="63" t="s">
        <v>35</v>
      </c>
      <c r="E272" s="65" t="s">
        <v>36</v>
      </c>
      <c r="F272" s="58"/>
      <c r="G272" s="43">
        <v>9</v>
      </c>
      <c r="H272" s="21">
        <v>9</v>
      </c>
      <c r="I272" s="21"/>
      <c r="J272" s="39">
        <v>9</v>
      </c>
      <c r="P272" s="30">
        <f t="shared" si="12"/>
        <v>9</v>
      </c>
      <c r="Q272" s="31">
        <f t="shared" si="13"/>
        <v>0</v>
      </c>
      <c r="R272" s="44">
        <f t="shared" si="14"/>
        <v>9</v>
      </c>
      <c r="V272" s="3" t="s">
        <v>348</v>
      </c>
      <c r="W272" s="3" t="s">
        <v>348</v>
      </c>
      <c r="X272" s="3" t="s">
        <v>348</v>
      </c>
      <c r="Y272" s="3">
        <v>9</v>
      </c>
      <c r="Z272" s="3" t="s">
        <v>348</v>
      </c>
      <c r="AC272" s="3" t="s">
        <v>348</v>
      </c>
      <c r="AF272" s="3" t="s">
        <v>348</v>
      </c>
      <c r="AG272" s="3" t="s">
        <v>348</v>
      </c>
      <c r="AH272" s="3" t="s">
        <v>348</v>
      </c>
      <c r="AI272" s="3" t="s">
        <v>348</v>
      </c>
      <c r="AJ272" s="3" t="s">
        <v>348</v>
      </c>
    </row>
    <row r="273" spans="1:38" s="3" customFormat="1">
      <c r="A273" s="57">
        <v>270</v>
      </c>
      <c r="B273" s="6" t="s">
        <v>324</v>
      </c>
      <c r="C273" s="13" t="s">
        <v>315</v>
      </c>
      <c r="D273" s="6" t="s">
        <v>316</v>
      </c>
      <c r="E273" s="12" t="s">
        <v>288</v>
      </c>
      <c r="F273" s="7"/>
      <c r="G273" s="21">
        <v>66</v>
      </c>
      <c r="H273" s="21">
        <v>66</v>
      </c>
      <c r="I273" s="21"/>
      <c r="J273" s="39">
        <v>66</v>
      </c>
      <c r="P273" s="30">
        <v>70</v>
      </c>
      <c r="Q273" s="31">
        <f t="shared" si="13"/>
        <v>0</v>
      </c>
      <c r="R273" s="32">
        <f t="shared" si="14"/>
        <v>70</v>
      </c>
      <c r="V273" s="3" t="s">
        <v>348</v>
      </c>
      <c r="W273" s="3" t="s">
        <v>348</v>
      </c>
      <c r="X273" s="3" t="s">
        <v>348</v>
      </c>
      <c r="Y273" s="3" t="s">
        <v>348</v>
      </c>
      <c r="Z273" s="3" t="s">
        <v>348</v>
      </c>
      <c r="AC273" s="3" t="s">
        <v>348</v>
      </c>
      <c r="AF273" s="3" t="s">
        <v>348</v>
      </c>
      <c r="AG273" s="3" t="s">
        <v>348</v>
      </c>
      <c r="AH273" s="3">
        <v>70</v>
      </c>
      <c r="AI273" s="3" t="s">
        <v>348</v>
      </c>
      <c r="AJ273" s="3" t="s">
        <v>348</v>
      </c>
    </row>
    <row r="274" spans="1:38" s="3" customFormat="1">
      <c r="A274" s="9">
        <v>271</v>
      </c>
      <c r="B274" s="6" t="s">
        <v>324</v>
      </c>
      <c r="C274" s="13" t="s">
        <v>317</v>
      </c>
      <c r="D274" s="6" t="s">
        <v>316</v>
      </c>
      <c r="E274" s="12" t="s">
        <v>288</v>
      </c>
      <c r="F274" s="7"/>
      <c r="G274" s="21">
        <v>3</v>
      </c>
      <c r="H274" s="21">
        <v>3</v>
      </c>
      <c r="I274" s="21"/>
      <c r="J274" s="27">
        <v>3</v>
      </c>
      <c r="P274" s="30">
        <v>5</v>
      </c>
      <c r="Q274" s="31">
        <f t="shared" si="13"/>
        <v>0</v>
      </c>
      <c r="R274" s="32">
        <f t="shared" si="14"/>
        <v>5</v>
      </c>
      <c r="V274" s="3" t="s">
        <v>348</v>
      </c>
      <c r="W274" s="3" t="s">
        <v>348</v>
      </c>
      <c r="X274" s="3" t="s">
        <v>348</v>
      </c>
      <c r="Y274" s="3" t="s">
        <v>348</v>
      </c>
      <c r="Z274" s="3" t="s">
        <v>348</v>
      </c>
      <c r="AC274" s="3" t="s">
        <v>348</v>
      </c>
      <c r="AF274" s="3" t="s">
        <v>348</v>
      </c>
      <c r="AG274" s="3" t="s">
        <v>348</v>
      </c>
      <c r="AH274" s="3">
        <v>5</v>
      </c>
      <c r="AI274" s="3" t="s">
        <v>348</v>
      </c>
      <c r="AJ274" s="3" t="s">
        <v>348</v>
      </c>
    </row>
    <row r="275" spans="1:38" s="3" customFormat="1">
      <c r="A275" s="9">
        <v>272</v>
      </c>
      <c r="B275" s="6" t="s">
        <v>324</v>
      </c>
      <c r="C275" s="13" t="s">
        <v>318</v>
      </c>
      <c r="D275" s="6" t="s">
        <v>316</v>
      </c>
      <c r="E275" s="12" t="s">
        <v>288</v>
      </c>
      <c r="F275" s="7"/>
      <c r="G275" s="21">
        <v>654</v>
      </c>
      <c r="H275" s="21">
        <v>654</v>
      </c>
      <c r="I275" s="21"/>
      <c r="J275" s="39">
        <v>654</v>
      </c>
      <c r="P275" s="30">
        <v>700</v>
      </c>
      <c r="Q275" s="31">
        <f t="shared" si="13"/>
        <v>-101</v>
      </c>
      <c r="R275" s="32">
        <f t="shared" si="14"/>
        <v>599</v>
      </c>
      <c r="V275" s="3" t="s">
        <v>348</v>
      </c>
      <c r="W275" s="3" t="s">
        <v>348</v>
      </c>
      <c r="X275" s="3" t="s">
        <v>348</v>
      </c>
      <c r="Y275" s="3" t="s">
        <v>348</v>
      </c>
      <c r="Z275" s="3" t="s">
        <v>348</v>
      </c>
      <c r="AC275" s="3" t="s">
        <v>348</v>
      </c>
      <c r="AF275" s="3" t="s">
        <v>348</v>
      </c>
      <c r="AG275" s="3" t="s">
        <v>348</v>
      </c>
      <c r="AH275" s="3">
        <v>599</v>
      </c>
      <c r="AI275" s="3" t="s">
        <v>348</v>
      </c>
      <c r="AJ275" s="3" t="s">
        <v>348</v>
      </c>
    </row>
    <row r="276" spans="1:38" s="3" customFormat="1">
      <c r="A276" s="9">
        <v>273</v>
      </c>
      <c r="B276" s="6" t="s">
        <v>324</v>
      </c>
      <c r="C276" s="13" t="s">
        <v>319</v>
      </c>
      <c r="D276" s="6" t="s">
        <v>316</v>
      </c>
      <c r="E276" s="12" t="s">
        <v>288</v>
      </c>
      <c r="F276" s="7"/>
      <c r="G276" s="21">
        <v>75</v>
      </c>
      <c r="H276" s="21">
        <v>75</v>
      </c>
      <c r="I276" s="21"/>
      <c r="J276" s="39">
        <v>75</v>
      </c>
      <c r="P276" s="30">
        <v>80</v>
      </c>
      <c r="Q276" s="31">
        <f t="shared" si="13"/>
        <v>0</v>
      </c>
      <c r="R276" s="32">
        <f t="shared" si="14"/>
        <v>80</v>
      </c>
      <c r="V276" s="3" t="s">
        <v>348</v>
      </c>
      <c r="W276" s="3" t="s">
        <v>348</v>
      </c>
      <c r="X276" s="3" t="s">
        <v>348</v>
      </c>
      <c r="Y276" s="3" t="s">
        <v>348</v>
      </c>
      <c r="Z276" s="3" t="s">
        <v>348</v>
      </c>
      <c r="AC276" s="3" t="s">
        <v>348</v>
      </c>
      <c r="AF276" s="3" t="s">
        <v>348</v>
      </c>
      <c r="AG276" s="3" t="s">
        <v>348</v>
      </c>
      <c r="AH276" s="3">
        <v>80</v>
      </c>
      <c r="AI276" s="3" t="s">
        <v>348</v>
      </c>
      <c r="AJ276" s="3" t="s">
        <v>348</v>
      </c>
    </row>
    <row r="277" spans="1:38" s="3" customFormat="1">
      <c r="A277" s="9">
        <v>274</v>
      </c>
      <c r="B277" s="6" t="s">
        <v>324</v>
      </c>
      <c r="C277" s="13" t="s">
        <v>320</v>
      </c>
      <c r="D277" s="6" t="s">
        <v>316</v>
      </c>
      <c r="E277" s="12" t="s">
        <v>288</v>
      </c>
      <c r="F277" s="7"/>
      <c r="G277" s="21">
        <v>250</v>
      </c>
      <c r="H277" s="21">
        <v>250</v>
      </c>
      <c r="I277" s="21"/>
      <c r="J277" s="39">
        <v>250</v>
      </c>
      <c r="P277" s="30">
        <v>270</v>
      </c>
      <c r="Q277" s="31">
        <f t="shared" si="13"/>
        <v>0</v>
      </c>
      <c r="R277" s="32">
        <f t="shared" si="14"/>
        <v>270</v>
      </c>
      <c r="V277" s="3" t="s">
        <v>348</v>
      </c>
      <c r="W277" s="3" t="s">
        <v>348</v>
      </c>
      <c r="X277" s="3" t="s">
        <v>348</v>
      </c>
      <c r="Y277" s="3" t="s">
        <v>348</v>
      </c>
      <c r="Z277" s="3" t="s">
        <v>348</v>
      </c>
      <c r="AC277" s="3" t="s">
        <v>348</v>
      </c>
      <c r="AF277" s="3" t="s">
        <v>348</v>
      </c>
      <c r="AG277" s="3" t="s">
        <v>348</v>
      </c>
      <c r="AH277" s="3">
        <v>270</v>
      </c>
      <c r="AI277" s="3" t="s">
        <v>348</v>
      </c>
      <c r="AJ277" s="3" t="s">
        <v>348</v>
      </c>
    </row>
    <row r="278" spans="1:38" s="3" customFormat="1">
      <c r="A278" s="9">
        <v>275</v>
      </c>
      <c r="B278" s="6" t="s">
        <v>324</v>
      </c>
      <c r="C278" s="13" t="s">
        <v>321</v>
      </c>
      <c r="D278" s="6" t="s">
        <v>316</v>
      </c>
      <c r="E278" s="12" t="s">
        <v>288</v>
      </c>
      <c r="F278" s="7"/>
      <c r="G278" s="21">
        <v>30</v>
      </c>
      <c r="H278" s="21">
        <v>30</v>
      </c>
      <c r="I278" s="21"/>
      <c r="J278" s="39">
        <v>30</v>
      </c>
      <c r="P278" s="30">
        <v>35</v>
      </c>
      <c r="Q278" s="31">
        <f t="shared" si="13"/>
        <v>0</v>
      </c>
      <c r="R278" s="32">
        <f t="shared" si="14"/>
        <v>35</v>
      </c>
      <c r="V278" s="3" t="s">
        <v>348</v>
      </c>
      <c r="W278" s="3" t="s">
        <v>348</v>
      </c>
      <c r="X278" s="3" t="s">
        <v>348</v>
      </c>
      <c r="Y278" s="3" t="s">
        <v>348</v>
      </c>
      <c r="Z278" s="3" t="s">
        <v>348</v>
      </c>
      <c r="AC278" s="3" t="s">
        <v>348</v>
      </c>
      <c r="AF278" s="3" t="s">
        <v>348</v>
      </c>
      <c r="AG278" s="3" t="s">
        <v>348</v>
      </c>
      <c r="AH278" s="3">
        <v>35</v>
      </c>
      <c r="AI278" s="3" t="s">
        <v>348</v>
      </c>
      <c r="AJ278" s="3" t="s">
        <v>348</v>
      </c>
    </row>
    <row r="279" spans="1:38" s="3" customFormat="1">
      <c r="A279" s="9">
        <v>276</v>
      </c>
      <c r="B279" s="6" t="s">
        <v>324</v>
      </c>
      <c r="C279" s="13" t="s">
        <v>322</v>
      </c>
      <c r="D279" s="6" t="s">
        <v>316</v>
      </c>
      <c r="E279" s="12" t="s">
        <v>288</v>
      </c>
      <c r="F279" s="7"/>
      <c r="G279" s="21">
        <v>182</v>
      </c>
      <c r="H279" s="21">
        <v>182</v>
      </c>
      <c r="I279" s="21"/>
      <c r="J279" s="39">
        <v>182</v>
      </c>
      <c r="P279" s="30">
        <v>200</v>
      </c>
      <c r="Q279" s="31">
        <f t="shared" si="13"/>
        <v>0</v>
      </c>
      <c r="R279" s="32">
        <f t="shared" si="14"/>
        <v>200</v>
      </c>
      <c r="V279" s="3" t="s">
        <v>348</v>
      </c>
      <c r="W279" s="3" t="s">
        <v>348</v>
      </c>
      <c r="X279" s="3" t="s">
        <v>348</v>
      </c>
      <c r="Y279" s="3" t="s">
        <v>348</v>
      </c>
      <c r="Z279" s="3" t="s">
        <v>348</v>
      </c>
      <c r="AC279" s="3" t="s">
        <v>348</v>
      </c>
      <c r="AF279" s="3" t="s">
        <v>348</v>
      </c>
      <c r="AG279" s="3" t="s">
        <v>348</v>
      </c>
      <c r="AH279" s="3">
        <v>127</v>
      </c>
      <c r="AI279" s="3" t="s">
        <v>348</v>
      </c>
      <c r="AJ279" s="3" t="s">
        <v>348</v>
      </c>
      <c r="AK279" s="3">
        <v>73</v>
      </c>
    </row>
    <row r="280" spans="1:38" s="3" customFormat="1">
      <c r="A280" s="46">
        <v>277</v>
      </c>
      <c r="B280" s="18" t="s">
        <v>324</v>
      </c>
      <c r="C280" s="50" t="s">
        <v>323</v>
      </c>
      <c r="D280" s="18" t="s">
        <v>316</v>
      </c>
      <c r="E280" s="48" t="s">
        <v>288</v>
      </c>
      <c r="F280" s="49"/>
      <c r="G280" s="21">
        <v>75</v>
      </c>
      <c r="H280" s="21">
        <v>75</v>
      </c>
      <c r="I280" s="21"/>
      <c r="J280" s="40">
        <v>75</v>
      </c>
      <c r="P280" s="30">
        <v>80</v>
      </c>
      <c r="Q280" s="31">
        <f t="shared" si="13"/>
        <v>0</v>
      </c>
      <c r="R280" s="32">
        <f t="shared" si="14"/>
        <v>80</v>
      </c>
      <c r="V280" s="3" t="s">
        <v>348</v>
      </c>
      <c r="W280" s="3" t="s">
        <v>348</v>
      </c>
      <c r="X280" s="3" t="s">
        <v>348</v>
      </c>
      <c r="Y280" s="3" t="s">
        <v>348</v>
      </c>
      <c r="Z280" s="3" t="s">
        <v>348</v>
      </c>
      <c r="AC280" s="3" t="s">
        <v>348</v>
      </c>
      <c r="AF280" s="3" t="s">
        <v>348</v>
      </c>
      <c r="AG280" s="3" t="s">
        <v>348</v>
      </c>
      <c r="AH280" s="3" t="s">
        <v>348</v>
      </c>
      <c r="AI280" s="3" t="s">
        <v>348</v>
      </c>
      <c r="AJ280" s="3" t="s">
        <v>348</v>
      </c>
      <c r="AK280" s="3">
        <v>80</v>
      </c>
    </row>
    <row r="281" spans="1:38" s="3" customFormat="1">
      <c r="A281" s="62">
        <v>278</v>
      </c>
      <c r="B281" s="63" t="s">
        <v>105</v>
      </c>
      <c r="C281" s="66" t="s">
        <v>366</v>
      </c>
      <c r="D281" s="67" t="s">
        <v>35</v>
      </c>
      <c r="E281" s="68" t="s">
        <v>88</v>
      </c>
      <c r="F281" s="58"/>
      <c r="G281" s="43">
        <v>2</v>
      </c>
      <c r="H281" s="21">
        <v>2</v>
      </c>
      <c r="I281" s="21"/>
      <c r="J281" s="39">
        <v>2</v>
      </c>
      <c r="P281" s="30">
        <f t="shared" ref="P281:P304" si="15">SUM(J281:O281)</f>
        <v>2</v>
      </c>
      <c r="Q281" s="31">
        <f t="shared" ref="Q281:Q304" si="16">+R281-P281</f>
        <v>0</v>
      </c>
      <c r="R281" s="44">
        <f t="shared" ref="R281:R304" si="17">SUM(S281:FB281)</f>
        <v>2</v>
      </c>
      <c r="V281" s="3" t="s">
        <v>348</v>
      </c>
      <c r="W281" s="3" t="s">
        <v>348</v>
      </c>
      <c r="X281" s="3" t="s">
        <v>348</v>
      </c>
      <c r="Y281" s="3" t="s">
        <v>348</v>
      </c>
      <c r="Z281" s="3">
        <v>2</v>
      </c>
      <c r="AC281" s="3" t="s">
        <v>348</v>
      </c>
      <c r="AF281" s="3" t="s">
        <v>348</v>
      </c>
      <c r="AG281" s="3" t="s">
        <v>348</v>
      </c>
      <c r="AH281" s="3" t="s">
        <v>348</v>
      </c>
      <c r="AI281" s="3" t="s">
        <v>348</v>
      </c>
      <c r="AJ281" s="3" t="s">
        <v>348</v>
      </c>
    </row>
    <row r="282" spans="1:38" s="3" customFormat="1" ht="32.4">
      <c r="A282" s="62">
        <v>279</v>
      </c>
      <c r="B282" s="63" t="s">
        <v>132</v>
      </c>
      <c r="C282" s="66" t="s">
        <v>367</v>
      </c>
      <c r="D282" s="67" t="s">
        <v>54</v>
      </c>
      <c r="E282" s="68" t="s">
        <v>36</v>
      </c>
      <c r="F282" s="58"/>
      <c r="G282" s="43">
        <v>2</v>
      </c>
      <c r="H282" s="21">
        <v>2</v>
      </c>
      <c r="I282" s="21"/>
      <c r="J282" s="39">
        <v>2</v>
      </c>
      <c r="P282" s="30">
        <f t="shared" si="15"/>
        <v>2</v>
      </c>
      <c r="Q282" s="31">
        <f t="shared" si="16"/>
        <v>0</v>
      </c>
      <c r="R282" s="44">
        <f t="shared" si="17"/>
        <v>2</v>
      </c>
      <c r="V282" s="3" t="s">
        <v>348</v>
      </c>
      <c r="W282" s="3" t="s">
        <v>348</v>
      </c>
      <c r="X282" s="3" t="s">
        <v>348</v>
      </c>
      <c r="Y282" s="3">
        <v>2</v>
      </c>
      <c r="Z282" s="3" t="s">
        <v>348</v>
      </c>
      <c r="AC282" s="3" t="s">
        <v>348</v>
      </c>
      <c r="AF282" s="3" t="s">
        <v>348</v>
      </c>
      <c r="AG282" s="3" t="s">
        <v>348</v>
      </c>
      <c r="AH282" s="3" t="s">
        <v>348</v>
      </c>
      <c r="AI282" s="3" t="s">
        <v>348</v>
      </c>
      <c r="AJ282" s="3" t="s">
        <v>348</v>
      </c>
    </row>
    <row r="283" spans="1:38" s="3" customFormat="1" ht="32.4">
      <c r="A283" s="62">
        <v>280</v>
      </c>
      <c r="B283" s="63" t="s">
        <v>173</v>
      </c>
      <c r="C283" s="66" t="s">
        <v>368</v>
      </c>
      <c r="D283" s="67" t="s">
        <v>60</v>
      </c>
      <c r="E283" s="68" t="s">
        <v>36</v>
      </c>
      <c r="F283" s="58"/>
      <c r="G283" s="43">
        <v>2</v>
      </c>
      <c r="H283" s="21">
        <v>2</v>
      </c>
      <c r="I283" s="21"/>
      <c r="J283" s="39">
        <v>2</v>
      </c>
      <c r="P283" s="30">
        <f t="shared" si="15"/>
        <v>2</v>
      </c>
      <c r="Q283" s="31">
        <f t="shared" si="16"/>
        <v>0</v>
      </c>
      <c r="R283" s="44">
        <f t="shared" si="17"/>
        <v>2</v>
      </c>
      <c r="V283" s="3" t="s">
        <v>348</v>
      </c>
      <c r="W283" s="3" t="s">
        <v>348</v>
      </c>
      <c r="X283" s="3" t="s">
        <v>348</v>
      </c>
      <c r="Y283" s="3" t="s">
        <v>348</v>
      </c>
      <c r="Z283" s="3">
        <v>2</v>
      </c>
      <c r="AC283" s="3" t="s">
        <v>348</v>
      </c>
      <c r="AF283" s="3" t="s">
        <v>348</v>
      </c>
      <c r="AG283" s="3" t="s">
        <v>348</v>
      </c>
      <c r="AH283" s="3" t="s">
        <v>348</v>
      </c>
      <c r="AI283" s="3" t="s">
        <v>348</v>
      </c>
      <c r="AJ283" s="3" t="s">
        <v>348</v>
      </c>
    </row>
    <row r="284" spans="1:38" s="3" customFormat="1">
      <c r="A284" s="57">
        <v>281</v>
      </c>
      <c r="B284" s="6" t="s">
        <v>194</v>
      </c>
      <c r="C284" s="34" t="s">
        <v>195</v>
      </c>
      <c r="D284" s="25" t="s">
        <v>196</v>
      </c>
      <c r="E284" s="35" t="s">
        <v>36</v>
      </c>
      <c r="F284" s="7"/>
      <c r="G284" s="21">
        <v>20</v>
      </c>
      <c r="H284" s="21">
        <v>20</v>
      </c>
      <c r="I284" s="21"/>
      <c r="J284" s="39">
        <v>20</v>
      </c>
      <c r="P284" s="30">
        <f t="shared" si="15"/>
        <v>20</v>
      </c>
      <c r="Q284" s="31">
        <f t="shared" si="16"/>
        <v>0</v>
      </c>
      <c r="R284" s="32">
        <f t="shared" si="17"/>
        <v>20</v>
      </c>
      <c r="V284" s="3" t="s">
        <v>348</v>
      </c>
      <c r="W284" s="3" t="s">
        <v>348</v>
      </c>
      <c r="X284" s="3" t="s">
        <v>348</v>
      </c>
      <c r="Y284" s="3" t="s">
        <v>348</v>
      </c>
      <c r="Z284" s="3" t="s">
        <v>348</v>
      </c>
      <c r="AA284" s="3">
        <v>20</v>
      </c>
      <c r="AC284" s="3" t="s">
        <v>348</v>
      </c>
      <c r="AF284" s="3" t="s">
        <v>348</v>
      </c>
      <c r="AG284" s="3" t="s">
        <v>348</v>
      </c>
      <c r="AH284" s="3" t="s">
        <v>348</v>
      </c>
      <c r="AI284" s="3" t="s">
        <v>348</v>
      </c>
      <c r="AJ284" s="3" t="s">
        <v>348</v>
      </c>
    </row>
    <row r="285" spans="1:38" s="3" customFormat="1">
      <c r="A285" s="9">
        <v>282</v>
      </c>
      <c r="B285" s="6" t="s">
        <v>194</v>
      </c>
      <c r="C285" s="34" t="s">
        <v>197</v>
      </c>
      <c r="D285" s="25" t="s">
        <v>196</v>
      </c>
      <c r="E285" s="35" t="s">
        <v>36</v>
      </c>
      <c r="F285" s="7"/>
      <c r="G285" s="21">
        <v>10</v>
      </c>
      <c r="H285" s="21">
        <v>10</v>
      </c>
      <c r="I285" s="21"/>
      <c r="J285" s="39">
        <v>10</v>
      </c>
      <c r="P285" s="30">
        <f t="shared" si="15"/>
        <v>10</v>
      </c>
      <c r="Q285" s="31">
        <f t="shared" si="16"/>
        <v>0</v>
      </c>
      <c r="R285" s="32">
        <f t="shared" si="17"/>
        <v>10</v>
      </c>
      <c r="V285" s="3" t="s">
        <v>348</v>
      </c>
      <c r="W285" s="3" t="s">
        <v>348</v>
      </c>
      <c r="X285" s="3" t="s">
        <v>348</v>
      </c>
      <c r="Y285" s="3" t="s">
        <v>348</v>
      </c>
      <c r="Z285" s="3" t="s">
        <v>348</v>
      </c>
      <c r="AA285" s="3">
        <v>10</v>
      </c>
      <c r="AC285" s="3" t="s">
        <v>348</v>
      </c>
      <c r="AF285" s="3" t="s">
        <v>348</v>
      </c>
      <c r="AG285" s="3" t="s">
        <v>348</v>
      </c>
      <c r="AH285" s="3" t="s">
        <v>348</v>
      </c>
      <c r="AI285" s="3" t="s">
        <v>348</v>
      </c>
      <c r="AJ285" s="3" t="s">
        <v>348</v>
      </c>
    </row>
    <row r="286" spans="1:38" s="3" customFormat="1">
      <c r="A286" s="9">
        <v>283</v>
      </c>
      <c r="B286" s="6" t="s">
        <v>194</v>
      </c>
      <c r="C286" s="34" t="s">
        <v>198</v>
      </c>
      <c r="D286" s="25" t="s">
        <v>196</v>
      </c>
      <c r="E286" s="35" t="s">
        <v>36</v>
      </c>
      <c r="F286" s="7"/>
      <c r="G286" s="21">
        <v>5</v>
      </c>
      <c r="H286" s="21">
        <v>5</v>
      </c>
      <c r="I286" s="21"/>
      <c r="J286" s="39">
        <v>5</v>
      </c>
      <c r="P286" s="30">
        <f t="shared" si="15"/>
        <v>5</v>
      </c>
      <c r="Q286" s="31">
        <f t="shared" si="16"/>
        <v>0</v>
      </c>
      <c r="R286" s="32">
        <f t="shared" si="17"/>
        <v>5</v>
      </c>
      <c r="V286" s="3" t="s">
        <v>348</v>
      </c>
      <c r="W286" s="3" t="s">
        <v>348</v>
      </c>
      <c r="X286" s="3" t="s">
        <v>348</v>
      </c>
      <c r="Y286" s="3" t="s">
        <v>348</v>
      </c>
      <c r="Z286" s="3" t="s">
        <v>348</v>
      </c>
      <c r="AA286" s="3">
        <v>5</v>
      </c>
      <c r="AC286" s="3" t="s">
        <v>348</v>
      </c>
      <c r="AF286" s="3" t="s">
        <v>348</v>
      </c>
      <c r="AG286" s="3" t="s">
        <v>348</v>
      </c>
      <c r="AH286" s="3" t="s">
        <v>348</v>
      </c>
      <c r="AI286" s="3" t="s">
        <v>348</v>
      </c>
      <c r="AJ286" s="3" t="s">
        <v>348</v>
      </c>
    </row>
    <row r="287" spans="1:38" s="3" customFormat="1" ht="40.200000000000003">
      <c r="A287" s="9">
        <v>284</v>
      </c>
      <c r="B287" s="6" t="s">
        <v>351</v>
      </c>
      <c r="C287" s="36" t="s">
        <v>205</v>
      </c>
      <c r="D287" s="37" t="s">
        <v>206</v>
      </c>
      <c r="E287" s="38" t="s">
        <v>207</v>
      </c>
      <c r="F287" s="7" t="s">
        <v>402</v>
      </c>
      <c r="G287" s="21">
        <v>4</v>
      </c>
      <c r="H287" s="21">
        <v>4</v>
      </c>
      <c r="I287" s="21"/>
      <c r="J287" s="39">
        <v>4</v>
      </c>
      <c r="P287" s="30">
        <f t="shared" si="15"/>
        <v>4</v>
      </c>
      <c r="Q287" s="31">
        <f t="shared" si="16"/>
        <v>0</v>
      </c>
      <c r="R287" s="32">
        <f t="shared" si="17"/>
        <v>4</v>
      </c>
      <c r="V287" s="3" t="s">
        <v>348</v>
      </c>
      <c r="W287" s="3" t="s">
        <v>348</v>
      </c>
      <c r="X287" s="3" t="s">
        <v>348</v>
      </c>
      <c r="Y287" s="3" t="s">
        <v>348</v>
      </c>
      <c r="Z287" s="3" t="s">
        <v>348</v>
      </c>
      <c r="AC287" s="3" t="s">
        <v>348</v>
      </c>
      <c r="AF287" s="3" t="s">
        <v>348</v>
      </c>
      <c r="AG287" s="3" t="s">
        <v>348</v>
      </c>
      <c r="AH287" s="3">
        <v>4</v>
      </c>
      <c r="AI287" s="3" t="s">
        <v>348</v>
      </c>
      <c r="AJ287" s="3" t="s">
        <v>348</v>
      </c>
    </row>
    <row r="288" spans="1:38" s="3" customFormat="1" ht="40.200000000000003">
      <c r="A288" s="9">
        <v>285</v>
      </c>
      <c r="B288" s="6" t="s">
        <v>352</v>
      </c>
      <c r="C288" s="36" t="s">
        <v>205</v>
      </c>
      <c r="D288" s="37" t="s">
        <v>206</v>
      </c>
      <c r="E288" s="38" t="s">
        <v>207</v>
      </c>
      <c r="F288" s="7" t="s">
        <v>403</v>
      </c>
      <c r="G288" s="21">
        <v>16</v>
      </c>
      <c r="H288" s="21">
        <v>16</v>
      </c>
      <c r="I288" s="21"/>
      <c r="J288" s="39">
        <v>16</v>
      </c>
      <c r="P288" s="30">
        <f t="shared" si="15"/>
        <v>16</v>
      </c>
      <c r="Q288" s="31">
        <f t="shared" si="16"/>
        <v>0</v>
      </c>
      <c r="R288" s="32">
        <f t="shared" si="17"/>
        <v>16</v>
      </c>
      <c r="V288" s="3" t="s">
        <v>348</v>
      </c>
      <c r="W288" s="3" t="s">
        <v>348</v>
      </c>
      <c r="X288" s="3" t="s">
        <v>348</v>
      </c>
      <c r="Y288" s="3" t="s">
        <v>348</v>
      </c>
      <c r="Z288" s="3" t="s">
        <v>348</v>
      </c>
      <c r="AC288" s="3" t="s">
        <v>348</v>
      </c>
      <c r="AF288" s="3" t="s">
        <v>348</v>
      </c>
      <c r="AG288" s="3" t="s">
        <v>348</v>
      </c>
      <c r="AH288" s="3" t="s">
        <v>348</v>
      </c>
      <c r="AI288" s="3" t="s">
        <v>348</v>
      </c>
      <c r="AJ288" s="3" t="s">
        <v>348</v>
      </c>
      <c r="AL288" s="3">
        <v>16</v>
      </c>
    </row>
    <row r="289" spans="1:40" s="3" customFormat="1" ht="40.200000000000003">
      <c r="A289" s="9">
        <v>286</v>
      </c>
      <c r="B289" s="6" t="s">
        <v>353</v>
      </c>
      <c r="C289" s="36" t="s">
        <v>205</v>
      </c>
      <c r="D289" s="37" t="s">
        <v>206</v>
      </c>
      <c r="E289" s="38" t="s">
        <v>207</v>
      </c>
      <c r="F289" s="7"/>
      <c r="G289" s="21">
        <v>16</v>
      </c>
      <c r="H289" s="21">
        <v>16</v>
      </c>
      <c r="I289" s="21"/>
      <c r="J289" s="39">
        <v>16</v>
      </c>
      <c r="P289" s="30">
        <f t="shared" si="15"/>
        <v>16</v>
      </c>
      <c r="Q289" s="31">
        <f t="shared" si="16"/>
        <v>0</v>
      </c>
      <c r="R289" s="32">
        <f t="shared" si="17"/>
        <v>16</v>
      </c>
      <c r="V289" s="3" t="s">
        <v>348</v>
      </c>
      <c r="W289" s="3" t="s">
        <v>348</v>
      </c>
      <c r="X289" s="3" t="s">
        <v>348</v>
      </c>
      <c r="Y289" s="3" t="s">
        <v>348</v>
      </c>
      <c r="Z289" s="3" t="s">
        <v>348</v>
      </c>
      <c r="AC289" s="3" t="s">
        <v>348</v>
      </c>
      <c r="AF289" s="3" t="s">
        <v>348</v>
      </c>
      <c r="AG289" s="3" t="s">
        <v>348</v>
      </c>
      <c r="AH289" s="3">
        <v>16</v>
      </c>
      <c r="AI289" s="3" t="s">
        <v>348</v>
      </c>
      <c r="AJ289" s="3" t="s">
        <v>348</v>
      </c>
    </row>
    <row r="290" spans="1:40" s="3" customFormat="1" ht="32.4">
      <c r="A290" s="9">
        <v>287</v>
      </c>
      <c r="B290" s="6" t="s">
        <v>225</v>
      </c>
      <c r="C290" s="34" t="s">
        <v>354</v>
      </c>
      <c r="D290" s="25" t="s">
        <v>220</v>
      </c>
      <c r="E290" s="35" t="s">
        <v>36</v>
      </c>
      <c r="F290" s="7"/>
      <c r="G290" s="21">
        <v>1</v>
      </c>
      <c r="H290" s="21">
        <v>1</v>
      </c>
      <c r="I290" s="21"/>
      <c r="J290" s="39">
        <v>1</v>
      </c>
      <c r="P290" s="30">
        <f t="shared" si="15"/>
        <v>1</v>
      </c>
      <c r="Q290" s="31">
        <f t="shared" si="16"/>
        <v>0</v>
      </c>
      <c r="R290" s="32">
        <f t="shared" si="17"/>
        <v>1</v>
      </c>
      <c r="V290" s="3" t="s">
        <v>348</v>
      </c>
      <c r="W290" s="3" t="s">
        <v>348</v>
      </c>
      <c r="X290" s="3" t="s">
        <v>348</v>
      </c>
      <c r="Y290" s="3" t="s">
        <v>348</v>
      </c>
      <c r="Z290" s="3" t="s">
        <v>348</v>
      </c>
      <c r="AC290" s="3" t="s">
        <v>348</v>
      </c>
      <c r="AF290" s="3" t="s">
        <v>348</v>
      </c>
      <c r="AG290" s="3" t="s">
        <v>348</v>
      </c>
      <c r="AH290" s="3" t="s">
        <v>348</v>
      </c>
      <c r="AI290" s="3" t="s">
        <v>348</v>
      </c>
      <c r="AJ290" s="3">
        <v>1</v>
      </c>
    </row>
    <row r="291" spans="1:40" s="3" customFormat="1" ht="32.4">
      <c r="A291" s="9">
        <v>288</v>
      </c>
      <c r="B291" s="6" t="s">
        <v>369</v>
      </c>
      <c r="C291" s="34" t="s">
        <v>234</v>
      </c>
      <c r="D291" s="25" t="s">
        <v>231</v>
      </c>
      <c r="E291" s="35" t="s">
        <v>36</v>
      </c>
      <c r="F291" s="7"/>
      <c r="G291" s="21">
        <v>1</v>
      </c>
      <c r="H291" s="21">
        <v>1</v>
      </c>
      <c r="I291" s="21"/>
      <c r="J291" s="39">
        <v>1</v>
      </c>
      <c r="P291" s="30">
        <f t="shared" si="15"/>
        <v>1</v>
      </c>
      <c r="Q291" s="31">
        <f t="shared" si="16"/>
        <v>0</v>
      </c>
      <c r="R291" s="32">
        <f t="shared" si="17"/>
        <v>1</v>
      </c>
      <c r="V291" s="3" t="s">
        <v>348</v>
      </c>
      <c r="W291" s="3" t="s">
        <v>348</v>
      </c>
      <c r="X291" s="3" t="s">
        <v>348</v>
      </c>
      <c r="Y291" s="3" t="s">
        <v>348</v>
      </c>
      <c r="Z291" s="3" t="s">
        <v>348</v>
      </c>
      <c r="AC291" s="3" t="s">
        <v>348</v>
      </c>
      <c r="AF291" s="3" t="s">
        <v>348</v>
      </c>
      <c r="AG291" s="3" t="s">
        <v>348</v>
      </c>
      <c r="AH291" s="3" t="s">
        <v>348</v>
      </c>
      <c r="AI291" s="3" t="s">
        <v>348</v>
      </c>
      <c r="AJ291" s="3">
        <v>1</v>
      </c>
    </row>
    <row r="292" spans="1:40" s="3" customFormat="1" ht="32.4">
      <c r="A292" s="9">
        <v>289</v>
      </c>
      <c r="B292" s="6" t="s">
        <v>259</v>
      </c>
      <c r="C292" s="34" t="s">
        <v>356</v>
      </c>
      <c r="D292" s="25" t="s">
        <v>35</v>
      </c>
      <c r="E292" s="35" t="s">
        <v>36</v>
      </c>
      <c r="F292" s="7"/>
      <c r="G292" s="21">
        <v>1</v>
      </c>
      <c r="H292" s="21">
        <v>1</v>
      </c>
      <c r="I292" s="21"/>
      <c r="J292" s="39">
        <v>1</v>
      </c>
      <c r="P292" s="30">
        <f t="shared" si="15"/>
        <v>1</v>
      </c>
      <c r="Q292" s="31">
        <f t="shared" si="16"/>
        <v>0</v>
      </c>
      <c r="R292" s="32">
        <f t="shared" si="17"/>
        <v>1</v>
      </c>
      <c r="V292" s="3" t="s">
        <v>348</v>
      </c>
      <c r="W292" s="3" t="s">
        <v>348</v>
      </c>
      <c r="X292" s="3" t="s">
        <v>348</v>
      </c>
      <c r="Y292" s="3" t="s">
        <v>348</v>
      </c>
      <c r="Z292" s="3" t="s">
        <v>348</v>
      </c>
      <c r="AC292" s="3" t="s">
        <v>348</v>
      </c>
      <c r="AF292" s="3" t="s">
        <v>348</v>
      </c>
      <c r="AG292" s="3" t="s">
        <v>348</v>
      </c>
      <c r="AH292" s="3" t="s">
        <v>348</v>
      </c>
      <c r="AI292" s="3">
        <v>1</v>
      </c>
      <c r="AJ292" s="3" t="s">
        <v>348</v>
      </c>
    </row>
    <row r="293" spans="1:40" s="3" customFormat="1" ht="32.4">
      <c r="A293" s="9">
        <v>290</v>
      </c>
      <c r="B293" s="6" t="s">
        <v>260</v>
      </c>
      <c r="C293" s="34" t="s">
        <v>358</v>
      </c>
      <c r="D293" s="25" t="s">
        <v>328</v>
      </c>
      <c r="E293" s="35" t="s">
        <v>36</v>
      </c>
      <c r="F293" s="7"/>
      <c r="G293" s="21">
        <v>2</v>
      </c>
      <c r="H293" s="21">
        <v>2</v>
      </c>
      <c r="I293" s="21"/>
      <c r="J293" s="39">
        <v>2</v>
      </c>
      <c r="P293" s="30">
        <f t="shared" si="15"/>
        <v>2</v>
      </c>
      <c r="Q293" s="31">
        <f t="shared" si="16"/>
        <v>0</v>
      </c>
      <c r="R293" s="32">
        <f t="shared" si="17"/>
        <v>2</v>
      </c>
      <c r="V293" s="3" t="s">
        <v>348</v>
      </c>
      <c r="W293" s="3" t="s">
        <v>348</v>
      </c>
      <c r="X293" s="3" t="s">
        <v>348</v>
      </c>
      <c r="Y293" s="3" t="s">
        <v>348</v>
      </c>
      <c r="Z293" s="3" t="s">
        <v>348</v>
      </c>
      <c r="AC293" s="3" t="s">
        <v>348</v>
      </c>
      <c r="AF293" s="3" t="s">
        <v>348</v>
      </c>
      <c r="AG293" s="3" t="s">
        <v>348</v>
      </c>
      <c r="AH293" s="3" t="s">
        <v>348</v>
      </c>
      <c r="AI293" s="3">
        <v>2</v>
      </c>
      <c r="AJ293" s="3" t="s">
        <v>348</v>
      </c>
    </row>
    <row r="294" spans="1:40" s="3" customFormat="1" ht="48.6">
      <c r="A294" s="9">
        <v>291</v>
      </c>
      <c r="B294" s="6" t="s">
        <v>370</v>
      </c>
      <c r="C294" s="34" t="s">
        <v>359</v>
      </c>
      <c r="D294" s="25" t="s">
        <v>329</v>
      </c>
      <c r="E294" s="35" t="s">
        <v>36</v>
      </c>
      <c r="F294" s="7"/>
      <c r="G294" s="21">
        <v>3</v>
      </c>
      <c r="H294" s="21">
        <v>3</v>
      </c>
      <c r="I294" s="21"/>
      <c r="J294" s="39">
        <v>3</v>
      </c>
      <c r="P294" s="30">
        <f t="shared" si="15"/>
        <v>3</v>
      </c>
      <c r="Q294" s="31">
        <f t="shared" si="16"/>
        <v>0</v>
      </c>
      <c r="R294" s="32">
        <f t="shared" si="17"/>
        <v>3</v>
      </c>
      <c r="V294" s="3" t="s">
        <v>348</v>
      </c>
      <c r="W294" s="3" t="s">
        <v>348</v>
      </c>
      <c r="X294" s="3" t="s">
        <v>348</v>
      </c>
      <c r="Y294" s="3" t="s">
        <v>348</v>
      </c>
      <c r="Z294" s="3" t="s">
        <v>348</v>
      </c>
      <c r="AC294" s="3" t="s">
        <v>348</v>
      </c>
      <c r="AF294" s="3" t="s">
        <v>348</v>
      </c>
      <c r="AG294" s="3" t="s">
        <v>348</v>
      </c>
      <c r="AH294" s="3" t="s">
        <v>348</v>
      </c>
      <c r="AI294" s="3">
        <v>3</v>
      </c>
      <c r="AJ294" s="3" t="s">
        <v>348</v>
      </c>
    </row>
    <row r="295" spans="1:40" s="3" customFormat="1">
      <c r="A295" s="9">
        <v>292</v>
      </c>
      <c r="B295" s="6" t="s">
        <v>269</v>
      </c>
      <c r="C295" s="34" t="s">
        <v>371</v>
      </c>
      <c r="D295" s="25" t="s">
        <v>275</v>
      </c>
      <c r="E295" s="35" t="s">
        <v>36</v>
      </c>
      <c r="F295" s="7"/>
      <c r="G295" s="21">
        <v>1</v>
      </c>
      <c r="H295" s="21">
        <v>1</v>
      </c>
      <c r="I295" s="21"/>
      <c r="J295" s="39">
        <v>1</v>
      </c>
      <c r="P295" s="30">
        <f t="shared" si="15"/>
        <v>1</v>
      </c>
      <c r="Q295" s="31">
        <f t="shared" si="16"/>
        <v>0</v>
      </c>
      <c r="R295" s="32">
        <f t="shared" si="17"/>
        <v>1</v>
      </c>
      <c r="V295" s="3" t="s">
        <v>348</v>
      </c>
      <c r="W295" s="3" t="s">
        <v>348</v>
      </c>
      <c r="X295" s="3" t="s">
        <v>348</v>
      </c>
      <c r="Y295" s="3" t="s">
        <v>348</v>
      </c>
      <c r="Z295" s="3" t="s">
        <v>348</v>
      </c>
      <c r="AC295" s="3" t="s">
        <v>348</v>
      </c>
      <c r="AF295" s="3" t="s">
        <v>348</v>
      </c>
      <c r="AG295" s="3" t="s">
        <v>348</v>
      </c>
      <c r="AH295" s="3" t="s">
        <v>348</v>
      </c>
      <c r="AI295" s="3">
        <v>1</v>
      </c>
      <c r="AJ295" s="3" t="s">
        <v>348</v>
      </c>
    </row>
    <row r="296" spans="1:40" s="3" customFormat="1">
      <c r="A296" s="46">
        <v>293</v>
      </c>
      <c r="B296" s="18" t="s">
        <v>269</v>
      </c>
      <c r="C296" s="51" t="s">
        <v>372</v>
      </c>
      <c r="D296" s="52" t="s">
        <v>271</v>
      </c>
      <c r="E296" s="53" t="s">
        <v>36</v>
      </c>
      <c r="F296" s="49"/>
      <c r="G296" s="21">
        <v>1</v>
      </c>
      <c r="H296" s="21">
        <v>1</v>
      </c>
      <c r="I296" s="21"/>
      <c r="J296" s="39">
        <v>1</v>
      </c>
      <c r="P296" s="30">
        <f t="shared" si="15"/>
        <v>1</v>
      </c>
      <c r="Q296" s="31">
        <f t="shared" si="16"/>
        <v>0</v>
      </c>
      <c r="R296" s="32">
        <f t="shared" si="17"/>
        <v>1</v>
      </c>
      <c r="V296" s="3" t="s">
        <v>348</v>
      </c>
      <c r="W296" s="3" t="s">
        <v>348</v>
      </c>
      <c r="X296" s="3" t="s">
        <v>348</v>
      </c>
      <c r="Y296" s="3" t="s">
        <v>348</v>
      </c>
      <c r="Z296" s="3" t="s">
        <v>348</v>
      </c>
      <c r="AC296" s="3" t="s">
        <v>348</v>
      </c>
      <c r="AF296" s="3" t="s">
        <v>348</v>
      </c>
      <c r="AG296" s="3" t="s">
        <v>348</v>
      </c>
      <c r="AH296" s="3" t="s">
        <v>348</v>
      </c>
      <c r="AI296" s="3">
        <v>1</v>
      </c>
      <c r="AJ296" s="3" t="s">
        <v>348</v>
      </c>
    </row>
    <row r="297" spans="1:40" s="3" customFormat="1" ht="32.4">
      <c r="A297" s="62">
        <v>294</v>
      </c>
      <c r="B297" s="63" t="s">
        <v>301</v>
      </c>
      <c r="C297" s="66" t="s">
        <v>373</v>
      </c>
      <c r="D297" s="67" t="s">
        <v>9</v>
      </c>
      <c r="E297" s="68" t="s">
        <v>36</v>
      </c>
      <c r="F297" s="58"/>
      <c r="G297" s="43">
        <v>2</v>
      </c>
      <c r="H297" s="21">
        <v>2</v>
      </c>
      <c r="I297" s="21"/>
      <c r="J297" s="39">
        <v>2</v>
      </c>
      <c r="P297" s="30">
        <f t="shared" si="15"/>
        <v>2</v>
      </c>
      <c r="Q297" s="31">
        <f t="shared" si="16"/>
        <v>0</v>
      </c>
      <c r="R297" s="44">
        <f t="shared" si="17"/>
        <v>2</v>
      </c>
      <c r="V297" s="3" t="s">
        <v>348</v>
      </c>
      <c r="W297" s="3" t="s">
        <v>348</v>
      </c>
      <c r="X297" s="3" t="s">
        <v>348</v>
      </c>
      <c r="Y297" s="3" t="s">
        <v>348</v>
      </c>
      <c r="Z297" s="3" t="s">
        <v>348</v>
      </c>
      <c r="AC297" s="3" t="s">
        <v>348</v>
      </c>
      <c r="AE297" s="3">
        <v>2</v>
      </c>
      <c r="AF297" s="3" t="s">
        <v>348</v>
      </c>
      <c r="AG297" s="3" t="s">
        <v>348</v>
      </c>
      <c r="AH297" s="3" t="s">
        <v>348</v>
      </c>
      <c r="AI297" s="3" t="s">
        <v>348</v>
      </c>
      <c r="AJ297" s="3" t="s">
        <v>348</v>
      </c>
    </row>
    <row r="298" spans="1:40" s="3" customFormat="1">
      <c r="A298" s="62">
        <v>295</v>
      </c>
      <c r="B298" s="63" t="s">
        <v>306</v>
      </c>
      <c r="C298" s="66" t="s">
        <v>360</v>
      </c>
      <c r="D298" s="67" t="s">
        <v>54</v>
      </c>
      <c r="E298" s="68" t="s">
        <v>36</v>
      </c>
      <c r="F298" s="58"/>
      <c r="G298" s="43">
        <v>2</v>
      </c>
      <c r="H298" s="21">
        <v>2</v>
      </c>
      <c r="I298" s="21"/>
      <c r="J298" s="39">
        <v>2</v>
      </c>
      <c r="P298" s="30">
        <f t="shared" si="15"/>
        <v>2</v>
      </c>
      <c r="Q298" s="31">
        <f t="shared" si="16"/>
        <v>0</v>
      </c>
      <c r="R298" s="44">
        <f t="shared" si="17"/>
        <v>2</v>
      </c>
      <c r="V298" s="3" t="s">
        <v>348</v>
      </c>
      <c r="W298" s="3" t="s">
        <v>348</v>
      </c>
      <c r="X298" s="3" t="s">
        <v>348</v>
      </c>
      <c r="Y298" s="3">
        <v>2</v>
      </c>
      <c r="Z298" s="3" t="s">
        <v>348</v>
      </c>
      <c r="AC298" s="3" t="s">
        <v>348</v>
      </c>
      <c r="AF298" s="3" t="s">
        <v>348</v>
      </c>
      <c r="AG298" s="3" t="s">
        <v>348</v>
      </c>
      <c r="AH298" s="3" t="s">
        <v>348</v>
      </c>
      <c r="AI298" s="3" t="s">
        <v>348</v>
      </c>
      <c r="AJ298" s="3" t="s">
        <v>348</v>
      </c>
    </row>
    <row r="299" spans="1:40" s="3" customFormat="1">
      <c r="A299" s="62">
        <v>296</v>
      </c>
      <c r="B299" s="63" t="s">
        <v>314</v>
      </c>
      <c r="C299" s="66" t="s">
        <v>374</v>
      </c>
      <c r="D299" s="67" t="s">
        <v>35</v>
      </c>
      <c r="E299" s="68" t="s">
        <v>36</v>
      </c>
      <c r="F299" s="58"/>
      <c r="G299" s="43">
        <v>1</v>
      </c>
      <c r="H299" s="21">
        <v>1</v>
      </c>
      <c r="I299" s="21"/>
      <c r="J299" s="39">
        <v>1</v>
      </c>
      <c r="P299" s="30">
        <f t="shared" si="15"/>
        <v>1</v>
      </c>
      <c r="Q299" s="31">
        <f t="shared" si="16"/>
        <v>0</v>
      </c>
      <c r="R299" s="44">
        <f t="shared" si="17"/>
        <v>1</v>
      </c>
      <c r="V299" s="3" t="s">
        <v>348</v>
      </c>
      <c r="W299" s="3" t="s">
        <v>348</v>
      </c>
      <c r="X299" s="3" t="s">
        <v>348</v>
      </c>
      <c r="Y299" s="3">
        <v>1</v>
      </c>
      <c r="Z299" s="3" t="s">
        <v>348</v>
      </c>
      <c r="AC299" s="3" t="s">
        <v>348</v>
      </c>
      <c r="AF299" s="3" t="s">
        <v>348</v>
      </c>
      <c r="AG299" s="3" t="s">
        <v>348</v>
      </c>
      <c r="AH299" s="3" t="s">
        <v>348</v>
      </c>
      <c r="AI299" s="3" t="s">
        <v>348</v>
      </c>
      <c r="AJ299" s="3" t="s">
        <v>348</v>
      </c>
    </row>
    <row r="300" spans="1:40" s="3" customFormat="1">
      <c r="A300" s="57">
        <v>297</v>
      </c>
      <c r="B300" s="6" t="s">
        <v>324</v>
      </c>
      <c r="C300" s="34" t="s">
        <v>361</v>
      </c>
      <c r="D300" s="25" t="s">
        <v>316</v>
      </c>
      <c r="E300" s="35" t="s">
        <v>288</v>
      </c>
      <c r="F300" s="7"/>
      <c r="G300" s="21">
        <v>7</v>
      </c>
      <c r="H300" s="21">
        <v>7</v>
      </c>
      <c r="I300" s="21"/>
      <c r="J300" s="39">
        <v>7</v>
      </c>
      <c r="P300" s="30">
        <f t="shared" si="15"/>
        <v>7</v>
      </c>
      <c r="Q300" s="31">
        <f t="shared" si="16"/>
        <v>0</v>
      </c>
      <c r="R300" s="32">
        <f t="shared" si="17"/>
        <v>7</v>
      </c>
      <c r="V300" s="3" t="s">
        <v>348</v>
      </c>
      <c r="W300" s="3" t="s">
        <v>348</v>
      </c>
      <c r="X300" s="3" t="s">
        <v>348</v>
      </c>
      <c r="Y300" s="3" t="s">
        <v>348</v>
      </c>
      <c r="Z300" s="3" t="s">
        <v>348</v>
      </c>
      <c r="AC300" s="3" t="s">
        <v>348</v>
      </c>
      <c r="AF300" s="3" t="s">
        <v>348</v>
      </c>
      <c r="AG300" s="3" t="s">
        <v>348</v>
      </c>
      <c r="AH300" s="3">
        <v>7</v>
      </c>
      <c r="AI300" s="3" t="s">
        <v>348</v>
      </c>
      <c r="AJ300" s="3" t="s">
        <v>348</v>
      </c>
    </row>
    <row r="301" spans="1:40" s="3" customFormat="1">
      <c r="A301" s="9">
        <v>298</v>
      </c>
      <c r="B301" s="6" t="s">
        <v>362</v>
      </c>
      <c r="C301" s="34" t="s">
        <v>375</v>
      </c>
      <c r="D301" s="25"/>
      <c r="E301" s="35" t="s">
        <v>36</v>
      </c>
      <c r="F301" s="7"/>
      <c r="G301" s="21">
        <v>3</v>
      </c>
      <c r="H301" s="21">
        <v>3</v>
      </c>
      <c r="I301" s="21"/>
      <c r="J301" s="39">
        <v>3</v>
      </c>
      <c r="P301" s="30">
        <f t="shared" si="15"/>
        <v>3</v>
      </c>
      <c r="Q301" s="31">
        <f t="shared" si="16"/>
        <v>0</v>
      </c>
      <c r="R301" s="32">
        <f t="shared" si="17"/>
        <v>3</v>
      </c>
      <c r="V301" s="3" t="s">
        <v>348</v>
      </c>
      <c r="W301" s="3" t="s">
        <v>348</v>
      </c>
      <c r="X301" s="3" t="s">
        <v>348</v>
      </c>
      <c r="Y301" s="3" t="s">
        <v>348</v>
      </c>
      <c r="Z301" s="3" t="s">
        <v>348</v>
      </c>
      <c r="AC301" s="3" t="s">
        <v>348</v>
      </c>
      <c r="AF301" s="3" t="s">
        <v>348</v>
      </c>
      <c r="AG301" s="3" t="s">
        <v>348</v>
      </c>
      <c r="AH301" s="3" t="s">
        <v>348</v>
      </c>
      <c r="AI301" s="3">
        <v>3</v>
      </c>
      <c r="AJ301" s="3" t="s">
        <v>348</v>
      </c>
    </row>
    <row r="302" spans="1:40" s="3" customFormat="1">
      <c r="A302" s="9">
        <v>299</v>
      </c>
      <c r="B302" s="6" t="s">
        <v>363</v>
      </c>
      <c r="C302" s="34" t="s">
        <v>375</v>
      </c>
      <c r="D302" s="25"/>
      <c r="E302" s="35" t="s">
        <v>36</v>
      </c>
      <c r="F302" s="7"/>
      <c r="G302" s="21">
        <v>2</v>
      </c>
      <c r="H302" s="21">
        <v>2</v>
      </c>
      <c r="I302" s="21"/>
      <c r="J302" s="39">
        <v>2</v>
      </c>
      <c r="P302" s="30">
        <f t="shared" si="15"/>
        <v>2</v>
      </c>
      <c r="Q302" s="31">
        <f t="shared" si="16"/>
        <v>0</v>
      </c>
      <c r="R302" s="32">
        <f t="shared" si="17"/>
        <v>2</v>
      </c>
      <c r="V302" s="3" t="s">
        <v>348</v>
      </c>
      <c r="W302" s="3" t="s">
        <v>348</v>
      </c>
      <c r="X302" s="3" t="s">
        <v>348</v>
      </c>
      <c r="Y302" s="3" t="s">
        <v>348</v>
      </c>
      <c r="Z302" s="3" t="s">
        <v>348</v>
      </c>
      <c r="AC302" s="3" t="s">
        <v>348</v>
      </c>
      <c r="AF302" s="3" t="s">
        <v>348</v>
      </c>
      <c r="AG302" s="3" t="s">
        <v>348</v>
      </c>
      <c r="AH302" s="3" t="s">
        <v>348</v>
      </c>
      <c r="AI302" s="3" t="s">
        <v>348</v>
      </c>
      <c r="AJ302" s="3" t="s">
        <v>348</v>
      </c>
      <c r="AN302" s="3">
        <v>2</v>
      </c>
    </row>
    <row r="303" spans="1:40" s="3" customFormat="1">
      <c r="A303" s="9">
        <v>300</v>
      </c>
      <c r="B303" s="6" t="s">
        <v>364</v>
      </c>
      <c r="C303" s="34" t="s">
        <v>375</v>
      </c>
      <c r="D303" s="25"/>
      <c r="E303" s="35" t="s">
        <v>36</v>
      </c>
      <c r="F303" s="7"/>
      <c r="G303" s="21">
        <v>4</v>
      </c>
      <c r="H303" s="21">
        <v>4</v>
      </c>
      <c r="I303" s="21"/>
      <c r="J303" s="39">
        <v>4</v>
      </c>
      <c r="P303" s="30">
        <f t="shared" si="15"/>
        <v>4</v>
      </c>
      <c r="Q303" s="31">
        <f t="shared" si="16"/>
        <v>0</v>
      </c>
      <c r="R303" s="32">
        <f t="shared" si="17"/>
        <v>4</v>
      </c>
      <c r="V303" s="3" t="s">
        <v>348</v>
      </c>
      <c r="W303" s="3" t="s">
        <v>348</v>
      </c>
      <c r="X303" s="3" t="s">
        <v>348</v>
      </c>
      <c r="Y303" s="3" t="s">
        <v>348</v>
      </c>
      <c r="Z303" s="3" t="s">
        <v>348</v>
      </c>
      <c r="AC303" s="3" t="s">
        <v>348</v>
      </c>
      <c r="AF303" s="3" t="s">
        <v>348</v>
      </c>
      <c r="AG303" s="3" t="s">
        <v>348</v>
      </c>
      <c r="AH303" s="3" t="s">
        <v>348</v>
      </c>
      <c r="AI303" s="3" t="s">
        <v>348</v>
      </c>
      <c r="AJ303" s="3" t="s">
        <v>348</v>
      </c>
      <c r="AL303" s="3">
        <v>4</v>
      </c>
    </row>
    <row r="304" spans="1:40" s="3" customFormat="1">
      <c r="A304" s="9">
        <v>301</v>
      </c>
      <c r="B304" s="6" t="s">
        <v>365</v>
      </c>
      <c r="C304" s="34" t="s">
        <v>376</v>
      </c>
      <c r="D304" s="25"/>
      <c r="E304" s="35" t="s">
        <v>288</v>
      </c>
      <c r="F304" s="7" t="s">
        <v>410</v>
      </c>
      <c r="G304" s="21">
        <v>1</v>
      </c>
      <c r="H304" s="21"/>
      <c r="I304" s="21"/>
      <c r="J304" s="39"/>
      <c r="P304" s="30">
        <f t="shared" si="15"/>
        <v>0</v>
      </c>
      <c r="Q304" s="31">
        <f t="shared" si="16"/>
        <v>0</v>
      </c>
      <c r="R304" s="32">
        <f t="shared" si="17"/>
        <v>0</v>
      </c>
      <c r="V304" s="3" t="s">
        <v>348</v>
      </c>
      <c r="W304" s="3" t="s">
        <v>348</v>
      </c>
      <c r="X304" s="3" t="s">
        <v>348</v>
      </c>
      <c r="Y304" s="3" t="s">
        <v>348</v>
      </c>
      <c r="Z304" s="3" t="s">
        <v>348</v>
      </c>
      <c r="AC304" s="3" t="s">
        <v>348</v>
      </c>
      <c r="AF304" s="3" t="s">
        <v>348</v>
      </c>
      <c r="AG304" s="3" t="s">
        <v>348</v>
      </c>
      <c r="AH304" s="3" t="s">
        <v>348</v>
      </c>
      <c r="AI304" s="3" t="s">
        <v>348</v>
      </c>
      <c r="AJ304" s="3" t="s">
        <v>348</v>
      </c>
    </row>
    <row r="305" spans="1:39" s="3" customFormat="1">
      <c r="A305" s="9">
        <v>303</v>
      </c>
      <c r="B305" s="6" t="s">
        <v>383</v>
      </c>
      <c r="C305" s="36" t="s">
        <v>382</v>
      </c>
      <c r="D305" s="37"/>
      <c r="E305" s="35" t="s">
        <v>36</v>
      </c>
      <c r="F305" s="7"/>
      <c r="G305" s="21"/>
      <c r="H305" s="21"/>
      <c r="I305" s="21"/>
      <c r="J305" s="39">
        <v>1250</v>
      </c>
      <c r="P305" s="30">
        <f t="shared" ref="P305:P312" si="18">SUM(J305:O305)</f>
        <v>1250</v>
      </c>
      <c r="Q305" s="31">
        <f t="shared" ref="Q305:Q312" si="19">+R305-P305</f>
        <v>0</v>
      </c>
      <c r="R305" s="32">
        <f t="shared" ref="R305:R312" si="20">SUM(S305:FB305)</f>
        <v>1250</v>
      </c>
      <c r="V305" s="3" t="s">
        <v>348</v>
      </c>
      <c r="W305" s="3" t="s">
        <v>348</v>
      </c>
      <c r="X305" s="3" t="s">
        <v>348</v>
      </c>
      <c r="Y305" s="3" t="s">
        <v>348</v>
      </c>
      <c r="Z305" s="3" t="s">
        <v>348</v>
      </c>
      <c r="AC305" s="3" t="s">
        <v>348</v>
      </c>
      <c r="AF305" s="3" t="s">
        <v>348</v>
      </c>
      <c r="AG305" s="3" t="s">
        <v>348</v>
      </c>
      <c r="AH305" s="70"/>
      <c r="AI305" s="3">
        <v>1250</v>
      </c>
      <c r="AJ305" s="3" t="s">
        <v>348</v>
      </c>
    </row>
    <row r="306" spans="1:39" s="3" customFormat="1" ht="32.4">
      <c r="A306" s="46">
        <v>304</v>
      </c>
      <c r="B306" s="18" t="s">
        <v>380</v>
      </c>
      <c r="C306" s="54" t="s">
        <v>381</v>
      </c>
      <c r="D306" s="55"/>
      <c r="E306" s="56" t="s">
        <v>207</v>
      </c>
      <c r="F306" s="49"/>
      <c r="G306" s="21">
        <v>420</v>
      </c>
      <c r="H306" s="21">
        <v>420</v>
      </c>
      <c r="I306" s="21"/>
      <c r="J306" s="39">
        <v>450</v>
      </c>
      <c r="P306" s="30">
        <f t="shared" ref="P306:P311" si="21">SUM(J306:O306)</f>
        <v>450</v>
      </c>
      <c r="Q306" s="31">
        <f t="shared" ref="Q306:Q311" si="22">+R306-P306</f>
        <v>50</v>
      </c>
      <c r="R306" s="32">
        <f t="shared" ref="R306:R311" si="23">SUM(S306:FB306)</f>
        <v>500</v>
      </c>
      <c r="V306" s="3" t="s">
        <v>348</v>
      </c>
      <c r="W306" s="3" t="s">
        <v>348</v>
      </c>
      <c r="X306" s="3" t="s">
        <v>348</v>
      </c>
      <c r="Y306" s="3" t="s">
        <v>348</v>
      </c>
      <c r="Z306" s="3" t="s">
        <v>348</v>
      </c>
      <c r="AC306" s="3" t="s">
        <v>348</v>
      </c>
      <c r="AF306" s="3" t="s">
        <v>348</v>
      </c>
      <c r="AG306" s="3" t="s">
        <v>348</v>
      </c>
      <c r="AH306" s="3" t="s">
        <v>348</v>
      </c>
      <c r="AI306" s="3" t="s">
        <v>348</v>
      </c>
      <c r="AJ306" s="3" t="s">
        <v>348</v>
      </c>
      <c r="AK306" s="3">
        <v>500</v>
      </c>
    </row>
    <row r="307" spans="1:39" s="3" customFormat="1">
      <c r="A307" s="46">
        <v>305</v>
      </c>
      <c r="B307" s="18" t="s">
        <v>33</v>
      </c>
      <c r="C307" s="54" t="s">
        <v>407</v>
      </c>
      <c r="D307" s="25" t="s">
        <v>40</v>
      </c>
      <c r="E307" s="56" t="s">
        <v>36</v>
      </c>
      <c r="F307" s="49"/>
      <c r="G307" s="21">
        <v>1</v>
      </c>
      <c r="H307" s="21">
        <v>1</v>
      </c>
      <c r="I307" s="21"/>
      <c r="J307" s="39"/>
      <c r="K307" s="3">
        <v>1</v>
      </c>
      <c r="P307" s="30">
        <f t="shared" si="21"/>
        <v>1</v>
      </c>
      <c r="Q307" s="31">
        <f t="shared" si="22"/>
        <v>0</v>
      </c>
      <c r="R307" s="32">
        <f t="shared" si="23"/>
        <v>1</v>
      </c>
      <c r="V307" s="3" t="s">
        <v>348</v>
      </c>
      <c r="W307" s="3" t="s">
        <v>348</v>
      </c>
      <c r="X307" s="3" t="s">
        <v>348</v>
      </c>
      <c r="Y307" s="3" t="s">
        <v>348</v>
      </c>
      <c r="Z307" s="3" t="s">
        <v>348</v>
      </c>
      <c r="AC307" s="3" t="s">
        <v>348</v>
      </c>
      <c r="AF307" s="3" t="s">
        <v>348</v>
      </c>
      <c r="AG307" s="3" t="s">
        <v>348</v>
      </c>
      <c r="AH307" s="3" t="s">
        <v>348</v>
      </c>
      <c r="AI307" s="3" t="s">
        <v>348</v>
      </c>
      <c r="AJ307" s="3" t="s">
        <v>348</v>
      </c>
      <c r="AK307" s="3">
        <v>1</v>
      </c>
    </row>
    <row r="308" spans="1:39" s="3" customFormat="1">
      <c r="A308" s="46">
        <v>306</v>
      </c>
      <c r="B308" s="18" t="s">
        <v>65</v>
      </c>
      <c r="C308" s="54" t="s">
        <v>408</v>
      </c>
      <c r="D308" s="25" t="s">
        <v>40</v>
      </c>
      <c r="E308" s="56" t="s">
        <v>36</v>
      </c>
      <c r="F308" s="49"/>
      <c r="G308" s="21">
        <v>2</v>
      </c>
      <c r="H308" s="21">
        <v>2</v>
      </c>
      <c r="I308" s="21"/>
      <c r="J308" s="39"/>
      <c r="K308" s="3">
        <v>2</v>
      </c>
      <c r="P308" s="30">
        <f t="shared" si="21"/>
        <v>2</v>
      </c>
      <c r="Q308" s="31">
        <f t="shared" si="22"/>
        <v>0</v>
      </c>
      <c r="R308" s="32">
        <f t="shared" si="23"/>
        <v>2</v>
      </c>
      <c r="V308" s="3" t="s">
        <v>348</v>
      </c>
      <c r="W308" s="3" t="s">
        <v>348</v>
      </c>
      <c r="X308" s="3" t="s">
        <v>348</v>
      </c>
      <c r="Y308" s="3" t="s">
        <v>348</v>
      </c>
      <c r="Z308" s="3" t="s">
        <v>348</v>
      </c>
      <c r="AC308" s="3" t="s">
        <v>348</v>
      </c>
      <c r="AF308" s="3" t="s">
        <v>348</v>
      </c>
      <c r="AG308" s="3" t="s">
        <v>348</v>
      </c>
      <c r="AH308" s="3" t="s">
        <v>348</v>
      </c>
      <c r="AI308" s="3" t="s">
        <v>348</v>
      </c>
      <c r="AJ308" s="3" t="s">
        <v>348</v>
      </c>
      <c r="AK308" s="3">
        <v>2</v>
      </c>
    </row>
    <row r="309" spans="1:39" s="3" customFormat="1">
      <c r="A309" s="46">
        <v>307</v>
      </c>
      <c r="B309" s="18" t="s">
        <v>416</v>
      </c>
      <c r="C309" s="54" t="s">
        <v>417</v>
      </c>
      <c r="D309" s="25" t="s">
        <v>40</v>
      </c>
      <c r="E309" s="56" t="s">
        <v>36</v>
      </c>
      <c r="F309" s="49"/>
      <c r="G309" s="21"/>
      <c r="H309" s="21"/>
      <c r="I309" s="21"/>
      <c r="J309" s="39"/>
      <c r="N309" s="3">
        <v>2</v>
      </c>
      <c r="P309" s="30">
        <f t="shared" si="21"/>
        <v>2</v>
      </c>
      <c r="Q309" s="31">
        <f t="shared" si="22"/>
        <v>0</v>
      </c>
      <c r="R309" s="32">
        <f t="shared" si="23"/>
        <v>2</v>
      </c>
      <c r="V309" s="3" t="s">
        <v>348</v>
      </c>
      <c r="W309" s="3" t="s">
        <v>348</v>
      </c>
      <c r="X309" s="3" t="s">
        <v>348</v>
      </c>
      <c r="Y309" s="3" t="s">
        <v>348</v>
      </c>
      <c r="Z309" s="3" t="s">
        <v>348</v>
      </c>
      <c r="AC309" s="3" t="s">
        <v>348</v>
      </c>
      <c r="AF309" s="3" t="s">
        <v>348</v>
      </c>
      <c r="AG309" s="3" t="s">
        <v>348</v>
      </c>
      <c r="AH309" s="3" t="s">
        <v>348</v>
      </c>
      <c r="AI309" s="3" t="s">
        <v>348</v>
      </c>
      <c r="AJ309" s="3" t="s">
        <v>348</v>
      </c>
      <c r="AM309" s="3">
        <v>2</v>
      </c>
    </row>
    <row r="310" spans="1:39" s="3" customFormat="1">
      <c r="A310" s="46">
        <v>308</v>
      </c>
      <c r="B310" s="18" t="s">
        <v>416</v>
      </c>
      <c r="C310" s="54" t="s">
        <v>418</v>
      </c>
      <c r="D310" s="25" t="s">
        <v>40</v>
      </c>
      <c r="E310" s="56" t="s">
        <v>36</v>
      </c>
      <c r="F310" s="49"/>
      <c r="G310" s="21"/>
      <c r="H310" s="21"/>
      <c r="I310" s="21"/>
      <c r="J310" s="39"/>
      <c r="N310" s="3">
        <v>3</v>
      </c>
      <c r="P310" s="30">
        <f t="shared" si="21"/>
        <v>3</v>
      </c>
      <c r="Q310" s="31">
        <f t="shared" si="22"/>
        <v>0</v>
      </c>
      <c r="R310" s="32">
        <f t="shared" si="23"/>
        <v>3</v>
      </c>
      <c r="V310" s="3" t="s">
        <v>348</v>
      </c>
      <c r="W310" s="3" t="s">
        <v>348</v>
      </c>
      <c r="X310" s="3" t="s">
        <v>348</v>
      </c>
      <c r="Y310" s="3" t="s">
        <v>348</v>
      </c>
      <c r="Z310" s="3" t="s">
        <v>348</v>
      </c>
      <c r="AC310" s="3" t="s">
        <v>348</v>
      </c>
      <c r="AF310" s="3" t="s">
        <v>348</v>
      </c>
      <c r="AG310" s="3" t="s">
        <v>348</v>
      </c>
      <c r="AH310" s="3" t="s">
        <v>348</v>
      </c>
      <c r="AI310" s="3" t="s">
        <v>348</v>
      </c>
      <c r="AJ310" s="3" t="s">
        <v>348</v>
      </c>
      <c r="AM310" s="3">
        <v>3</v>
      </c>
    </row>
    <row r="311" spans="1:39" s="3" customFormat="1">
      <c r="A311" s="46">
        <v>309</v>
      </c>
      <c r="B311" s="18" t="s">
        <v>416</v>
      </c>
      <c r="C311" s="54" t="s">
        <v>419</v>
      </c>
      <c r="D311" s="25" t="s">
        <v>40</v>
      </c>
      <c r="E311" s="56" t="s">
        <v>36</v>
      </c>
      <c r="F311" s="49"/>
      <c r="G311" s="21"/>
      <c r="H311" s="21"/>
      <c r="I311" s="21"/>
      <c r="J311" s="39"/>
      <c r="N311" s="3">
        <v>2</v>
      </c>
      <c r="P311" s="30">
        <f t="shared" si="21"/>
        <v>2</v>
      </c>
      <c r="Q311" s="31">
        <f t="shared" si="22"/>
        <v>0</v>
      </c>
      <c r="R311" s="32">
        <f t="shared" si="23"/>
        <v>2</v>
      </c>
      <c r="V311" s="3" t="s">
        <v>348</v>
      </c>
      <c r="W311" s="3" t="s">
        <v>348</v>
      </c>
      <c r="X311" s="3" t="s">
        <v>348</v>
      </c>
      <c r="Y311" s="3" t="s">
        <v>348</v>
      </c>
      <c r="Z311" s="3" t="s">
        <v>348</v>
      </c>
      <c r="AC311" s="3" t="s">
        <v>348</v>
      </c>
      <c r="AF311" s="3" t="s">
        <v>348</v>
      </c>
      <c r="AG311" s="3" t="s">
        <v>348</v>
      </c>
      <c r="AH311" s="3" t="s">
        <v>348</v>
      </c>
      <c r="AI311" s="3" t="s">
        <v>348</v>
      </c>
      <c r="AJ311" s="3" t="s">
        <v>348</v>
      </c>
      <c r="AM311" s="3">
        <v>2</v>
      </c>
    </row>
    <row r="312" spans="1:39" s="3" customFormat="1">
      <c r="A312" s="46">
        <v>310</v>
      </c>
      <c r="B312" s="18" t="s">
        <v>420</v>
      </c>
      <c r="C312" s="54" t="s">
        <v>421</v>
      </c>
      <c r="D312" s="25" t="s">
        <v>9</v>
      </c>
      <c r="E312" s="56" t="s">
        <v>36</v>
      </c>
      <c r="F312" s="49"/>
      <c r="G312" s="21"/>
      <c r="H312" s="21"/>
      <c r="I312" s="21"/>
      <c r="J312" s="39"/>
      <c r="N312" s="3">
        <v>3</v>
      </c>
      <c r="P312" s="30">
        <f t="shared" si="18"/>
        <v>3</v>
      </c>
      <c r="Q312" s="31">
        <f t="shared" si="19"/>
        <v>0</v>
      </c>
      <c r="R312" s="32">
        <f t="shared" si="20"/>
        <v>3</v>
      </c>
      <c r="V312" s="3" t="s">
        <v>348</v>
      </c>
      <c r="W312" s="3" t="s">
        <v>348</v>
      </c>
      <c r="X312" s="3" t="s">
        <v>348</v>
      </c>
      <c r="Y312" s="3" t="s">
        <v>348</v>
      </c>
      <c r="Z312" s="3" t="s">
        <v>348</v>
      </c>
      <c r="AC312" s="3" t="s">
        <v>348</v>
      </c>
      <c r="AF312" s="3" t="s">
        <v>348</v>
      </c>
      <c r="AG312" s="3" t="s">
        <v>348</v>
      </c>
      <c r="AH312" s="3" t="s">
        <v>348</v>
      </c>
      <c r="AI312" s="3" t="s">
        <v>348</v>
      </c>
      <c r="AJ312" s="3" t="s">
        <v>348</v>
      </c>
      <c r="AM312" s="3">
        <v>3</v>
      </c>
    </row>
    <row r="313" spans="1:39" s="3" customFormat="1" ht="19.8">
      <c r="A313" s="58"/>
      <c r="B313" s="69"/>
      <c r="C313" s="64"/>
      <c r="D313" s="63"/>
      <c r="E313" s="61"/>
      <c r="F313" s="58"/>
      <c r="G313" s="43"/>
      <c r="H313" s="21"/>
      <c r="I313" s="21"/>
      <c r="J313" s="8"/>
      <c r="R313" s="45"/>
    </row>
  </sheetData>
  <autoFilter ref="A3:WUG312" xr:uid="{00000000-0001-0000-0000-000000000000}"/>
  <dataConsolidate/>
  <mergeCells count="2">
    <mergeCell ref="A2:D2"/>
    <mergeCell ref="G2:P2"/>
  </mergeCells>
  <phoneticPr fontId="4" type="noConversion"/>
  <conditionalFormatting sqref="Q3:Q312">
    <cfRule type="cellIs" dxfId="0" priority="1" operator="lessThan">
      <formula>0</formula>
    </cfRule>
  </conditionalFormatting>
  <printOptions horizontalCentered="1"/>
  <pageMargins left="0.47244094488188981" right="0.31496062992125984" top="0.39370078740157483" bottom="0.42" header="0.43307086614173229" footer="0.17"/>
  <pageSetup paperSize="8" scale="90" fitToHeight="0" orientation="landscape" r:id="rId1"/>
  <headerFooter alignWithMargins="0">
    <oddFooter>&amp;C第 &amp;P 頁，共 &amp;N 頁&amp;RR-7-03-02A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FITTING</vt:lpstr>
      <vt:lpstr>FITTING!Print_Area</vt:lpstr>
      <vt:lpstr>FITTING!Print_Titles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巫 Joe</cp:lastModifiedBy>
  <cp:lastPrinted>2025-05-26T03:41:30Z</cp:lastPrinted>
  <dcterms:created xsi:type="dcterms:W3CDTF">2013-07-05T02:12:06Z</dcterms:created>
  <dcterms:modified xsi:type="dcterms:W3CDTF">2025-08-18T02:48:27Z</dcterms:modified>
</cp:coreProperties>
</file>